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bar.wahyadi\Desktop\"/>
    </mc:Choice>
  </mc:AlternateContent>
  <xr:revisionPtr revIDLastSave="0" documentId="13_ncr:1_{A815F38F-1BEC-489A-84FF-EBE174F6F75E}" xr6:coauthVersionLast="47" xr6:coauthVersionMax="47" xr10:uidLastSave="{00000000-0000-0000-0000-000000000000}"/>
  <bookViews>
    <workbookView xWindow="-120" yWindow="-120" windowWidth="20730" windowHeight="11160" firstSheet="1" activeTab="3" xr2:uid="{5DA89A1C-617A-4E24-9D4F-2B3081D7D8F4}"/>
  </bookViews>
  <sheets>
    <sheet name="Reference Range" sheetId="3" r:id="rId1"/>
    <sheet name="Critical Limits" sheetId="2" r:id="rId2"/>
    <sheet name="Rumus" sheetId="4" r:id="rId3"/>
    <sheet name="Result" sheetId="5" r:id="rId4"/>
    <sheet name="Cal" sheetId="6" r:id="rId5"/>
    <sheet name="Ar_Male_S" sheetId="7" r:id="rId6"/>
    <sheet name="Ar_Male_NS" sheetId="8" r:id="rId7"/>
    <sheet name="Male_S" sheetId="9" r:id="rId8"/>
  </sheets>
  <definedNames>
    <definedName name="_xlnm.Print_Area" localSheetId="6">Ar_Male_NS!$B$2:$H$62</definedName>
    <definedName name="_xlnm.Print_Area" localSheetId="5">Ar_Male_S!$B$2:$H$61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J7" i="5"/>
  <c r="K7" i="5"/>
  <c r="L7" i="5"/>
  <c r="U7" i="5"/>
  <c r="AD7" i="5" s="1"/>
  <c r="S7" i="5" s="1"/>
  <c r="U6" i="5"/>
  <c r="L6" i="5"/>
  <c r="K6" i="5"/>
  <c r="J6" i="5"/>
  <c r="C6" i="5"/>
  <c r="J17" i="9"/>
  <c r="J30" i="9"/>
  <c r="J19" i="9"/>
  <c r="J21" i="9" l="1"/>
  <c r="B38" i="9"/>
  <c r="B13" i="9" s="1"/>
  <c r="B31" i="9"/>
  <c r="J31" i="9"/>
  <c r="B12" i="9"/>
  <c r="B11" i="9"/>
  <c r="AM7" i="6"/>
  <c r="K7" i="6"/>
  <c r="J7" i="6"/>
  <c r="C7" i="6"/>
  <c r="J14" i="9" l="1"/>
  <c r="J22" i="9"/>
  <c r="J20" i="9"/>
  <c r="J18" i="9"/>
  <c r="C6" i="6"/>
  <c r="J25" i="9" l="1"/>
  <c r="B41" i="9"/>
  <c r="B42" i="9" s="1"/>
  <c r="J27" i="9" s="1"/>
  <c r="J28" i="9" s="1"/>
  <c r="J24" i="9"/>
  <c r="J26" i="9" s="1"/>
  <c r="J11" i="9"/>
  <c r="J15" i="9"/>
  <c r="J13" i="9"/>
  <c r="J12" i="9"/>
  <c r="J23" i="9" l="1"/>
  <c r="B40" i="9"/>
  <c r="AD6" i="5" l="1"/>
  <c r="S6" i="5" s="1"/>
</calcChain>
</file>

<file path=xl/sharedStrings.xml><?xml version="1.0" encoding="utf-8"?>
<sst xmlns="http://schemas.openxmlformats.org/spreadsheetml/2006/main" count="1084" uniqueCount="352">
  <si>
    <t>Parameter</t>
  </si>
  <si>
    <t>pH</t>
  </si>
  <si>
    <t>pCO2</t>
  </si>
  <si>
    <t>pH (Ven0us)</t>
  </si>
  <si>
    <t>higher than arterial pCO2</t>
  </si>
  <si>
    <t>pO2</t>
  </si>
  <si>
    <t>Ca++</t>
  </si>
  <si>
    <t>Hct (Male)</t>
  </si>
  <si>
    <t>Hct (Female)</t>
  </si>
  <si>
    <t>Unit</t>
  </si>
  <si>
    <t>mmHg</t>
  </si>
  <si>
    <t>mmol/L</t>
  </si>
  <si>
    <t>%</t>
  </si>
  <si>
    <t>Glu</t>
  </si>
  <si>
    <t>Gluc</t>
  </si>
  <si>
    <t>mg/dL</t>
  </si>
  <si>
    <t>Lac</t>
  </si>
  <si>
    <t>Lac (Vernous)</t>
  </si>
  <si>
    <t>tHb</t>
  </si>
  <si>
    <t>g/dL</t>
  </si>
  <si>
    <t>tHb (Male)</t>
  </si>
  <si>
    <t>tHb (Female)</t>
  </si>
  <si>
    <t>O2Hb</t>
  </si>
  <si>
    <t>COHb</t>
  </si>
  <si>
    <t>MetHb</t>
  </si>
  <si>
    <t>HHb</t>
  </si>
  <si>
    <t>sO2</t>
  </si>
  <si>
    <t>TCO2</t>
  </si>
  <si>
    <t>BE</t>
  </si>
  <si>
    <t>HCO3-</t>
  </si>
  <si>
    <t>Anion Gap</t>
  </si>
  <si>
    <t>COHb (Smokers)</t>
  </si>
  <si>
    <t>COHb (Non Smokers)</t>
  </si>
  <si>
    <t>Note</t>
  </si>
  <si>
    <t>Lower</t>
  </si>
  <si>
    <t>Higher</t>
  </si>
  <si>
    <t>Entered Parameter</t>
  </si>
  <si>
    <t>Temperature (Temp)</t>
  </si>
  <si>
    <t>Barometric Pressure (BP)</t>
  </si>
  <si>
    <t>Allowable Range</t>
  </si>
  <si>
    <t>500 - 999 (default 760)</t>
  </si>
  <si>
    <t>15 - 45</t>
  </si>
  <si>
    <t>OC</t>
  </si>
  <si>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</t>
    </r>
  </si>
  <si>
    <r>
      <t>pCO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(Male)</t>
    </r>
  </si>
  <si>
    <r>
      <t>pCO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(Female)</t>
    </r>
  </si>
  <si>
    <r>
      <t>pCO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(Venous)</t>
    </r>
  </si>
  <si>
    <r>
      <t>pO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</si>
  <si>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Na</t>
    </r>
    <r>
      <rPr>
        <vertAlign val="superscript"/>
        <sz val="11"/>
        <color theme="1"/>
        <rFont val="Aptos Narrow"/>
        <family val="2"/>
        <scheme val="minor"/>
      </rPr>
      <t>+</t>
    </r>
  </si>
  <si>
    <r>
      <t>K</t>
    </r>
    <r>
      <rPr>
        <vertAlign val="superscript"/>
        <sz val="11"/>
        <color theme="1"/>
        <rFont val="Aptos Narrow"/>
        <family val="2"/>
        <scheme val="minor"/>
      </rPr>
      <t>+</t>
    </r>
  </si>
  <si>
    <r>
      <t>Cl</t>
    </r>
    <r>
      <rPr>
        <vertAlign val="superscript"/>
        <sz val="11"/>
        <color theme="1"/>
        <rFont val="Aptos Narrow"/>
        <family val="2"/>
        <scheme val="minor"/>
      </rPr>
      <t>-</t>
    </r>
  </si>
  <si>
    <r>
      <t>Ca</t>
    </r>
    <r>
      <rPr>
        <vertAlign val="superscript"/>
        <sz val="11"/>
        <color theme="1"/>
        <rFont val="Aptos Narrow"/>
        <family val="2"/>
        <scheme val="minor"/>
      </rPr>
      <t>++</t>
    </r>
  </si>
  <si>
    <r>
      <t>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Hb</t>
    </r>
  </si>
  <si>
    <r>
      <t>sO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</si>
  <si>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TCO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</si>
  <si>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TCO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(Venous)</t>
    </r>
  </si>
  <si>
    <r>
      <t>HCO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vertAlign val="superscript"/>
        <sz val="11"/>
        <color theme="1"/>
        <rFont val="Aptos Narrow"/>
        <family val="2"/>
        <scheme val="minor"/>
      </rPr>
      <t>-</t>
    </r>
  </si>
  <si>
    <r>
      <t>HCO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(Venous)</t>
    </r>
  </si>
  <si>
    <r>
      <t>(Na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+ K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>) - (Cl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+ HCO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>)</t>
    </r>
  </si>
  <si>
    <t>-6 - 7 higher than arterial pCO2</t>
  </si>
  <si>
    <t>FiO2</t>
  </si>
  <si>
    <r>
      <t xml:space="preserve"> Percent inspirred oxygen (FiO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</si>
  <si>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10 - 100</t>
  </si>
  <si>
    <t>Mean Airway Pressure (MAP)</t>
  </si>
  <si>
    <t>0 - 999</t>
  </si>
  <si>
    <r>
      <t>cm 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</si>
  <si>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t>Exception Symbol</t>
  </si>
  <si>
    <t>Description</t>
  </si>
  <si>
    <t>Outside Critical Limit - High</t>
  </si>
  <si>
    <t>Outside Critical Limit - Low</t>
  </si>
  <si>
    <t>Outside Reference Range - Low</t>
  </si>
  <si>
    <t>Outside Reference Range - High</t>
  </si>
  <si>
    <t>Outside Reportable Range - Greater Than</t>
  </si>
  <si>
    <t>Outside Reportable Range - Less Than</t>
  </si>
  <si>
    <t>Result Incalculable</t>
  </si>
  <si>
    <t>Absorbance Error</t>
  </si>
  <si>
    <t>Sulfohemoglobin Interference Detected</t>
  </si>
  <si>
    <t>High Turbidity Detected</t>
  </si>
  <si>
    <t>Interference Detected</t>
  </si>
  <si>
    <t>Micro Clot Detected</t>
  </si>
  <si>
    <t>Temporary Sensor Error</t>
  </si>
  <si>
    <t>High Methemoglobin Warning</t>
  </si>
  <si>
    <t>Sufohemoglobin and High Methemoglobin Warning</t>
  </si>
  <si>
    <t>Corrected for Sulfohemoglobin</t>
  </si>
  <si>
    <t>iQM2 IntraSpect</t>
  </si>
  <si>
    <t>+</t>
  </si>
  <si>
    <t>x</t>
  </si>
  <si>
    <r>
      <t>HCO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std</t>
    </r>
  </si>
  <si>
    <t>BE(B)</t>
  </si>
  <si>
    <t>tHB</t>
  </si>
  <si>
    <t>(O2Hb - 100)</t>
  </si>
  <si>
    <t>No Co-Ox</t>
  </si>
  <si>
    <t>(sO2[c] - 100)</t>
  </si>
  <si>
    <r>
      <t>HCO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(c) Actual Calculation</t>
    </r>
  </si>
  <si>
    <t>^</t>
  </si>
  <si>
    <t>(pH</t>
  </si>
  <si>
    <t>log(pCO2)</t>
  </si>
  <si>
    <t>-</t>
  </si>
  <si>
    <t>7.608)</t>
  </si>
  <si>
    <r>
      <t>sO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(c)</t>
    </r>
  </si>
  <si>
    <t>/</t>
  </si>
  <si>
    <t>(23400</t>
  </si>
  <si>
    <t>pO2pp</t>
  </si>
  <si>
    <t>e^(C+0.003 x BE(B)) - 2.2) x (7.4 - pH)</t>
  </si>
  <si>
    <t>e</t>
  </si>
  <si>
    <t>C</t>
  </si>
  <si>
    <t>BE(B) Siggaard Anderson</t>
  </si>
  <si>
    <t>(1</t>
  </si>
  <si>
    <t>tHb)</t>
  </si>
  <si>
    <t>BE(B) Rolf Zander</t>
  </si>
  <si>
    <t>(0.034</t>
  </si>
  <si>
    <t>10^(pH-6.1)</t>
  </si>
  <si>
    <t>24.26)</t>
  </si>
  <si>
    <t>(9.5</t>
  </si>
  <si>
    <t>(pH-7.4))</t>
  </si>
  <si>
    <t>(100</t>
  </si>
  <si>
    <t>SAT)</t>
  </si>
  <si>
    <t>SAT</t>
  </si>
  <si>
    <t>[1</t>
  </si>
  <si>
    <t>[pO2pp^3</t>
  </si>
  <si>
    <t>pO2pp])]</t>
  </si>
  <si>
    <t>(pO2/26.7)</t>
  </si>
  <si>
    <t>X</t>
  </si>
  <si>
    <t>(1-0.014xtHb)</t>
  </si>
  <si>
    <t>[HCO3- - 24 + (1.63xtHb+9.5)</t>
  </si>
  <si>
    <t>(pH-7.4)</t>
  </si>
  <si>
    <t>Hct</t>
  </si>
  <si>
    <t>Ca++ (7.4)</t>
  </si>
  <si>
    <t>10^[-0.178x(7.4-pH)}</t>
  </si>
  <si>
    <t>Anion GAP (AG)</t>
  </si>
  <si>
    <t>(Na+ + K+)</t>
  </si>
  <si>
    <t>(Cl- + HCO3-(c))</t>
  </si>
  <si>
    <t>P/F Ratio</t>
  </si>
  <si>
    <t>paO2</t>
  </si>
  <si>
    <t>pAO2</t>
  </si>
  <si>
    <t>(BP-47)</t>
  </si>
  <si>
    <t>paCO2(T)</t>
  </si>
  <si>
    <t>CaO2</t>
  </si>
  <si>
    <t>paO2(T)</t>
  </si>
  <si>
    <t>O2Ct</t>
  </si>
  <si>
    <t>sO2(c)</t>
  </si>
  <si>
    <t>CvO2</t>
  </si>
  <si>
    <t>pvO2(T)</t>
  </si>
  <si>
    <t>P50 mmHg</t>
  </si>
  <si>
    <t>^-(Q/2.7)</t>
  </si>
  <si>
    <t>Q</t>
  </si>
  <si>
    <t>Log[R/</t>
  </si>
  <si>
    <t>(100-R)]</t>
  </si>
  <si>
    <t>log</t>
  </si>
  <si>
    <t>(pvO2(t))</t>
  </si>
  <si>
    <t>R</t>
  </si>
  <si>
    <t>O2Hb or sO2</t>
  </si>
  <si>
    <t xml:space="preserve"> or</t>
  </si>
  <si>
    <t>range</t>
  </si>
  <si>
    <t>30-75</t>
  </si>
  <si>
    <t>O2cap</t>
  </si>
  <si>
    <t>(thb</t>
  </si>
  <si>
    <t>tHb x (100-O2Hb-HHb)</t>
  </si>
  <si>
    <t>A-aDO2</t>
  </si>
  <si>
    <t>paO2/pAO2</t>
  </si>
  <si>
    <t>paO2(T)/pAO2</t>
  </si>
  <si>
    <t>RI</t>
  </si>
  <si>
    <t>CcO2</t>
  </si>
  <si>
    <t>(1.39</t>
  </si>
  <si>
    <t>alpha)</t>
  </si>
  <si>
    <t>alpha</t>
  </si>
  <si>
    <t>(1-COHb/100)</t>
  </si>
  <si>
    <t>if pAO2</t>
  </si>
  <si>
    <t>&gt;150</t>
  </si>
  <si>
    <t>&gt;125</t>
  </si>
  <si>
    <t>&lt;=150</t>
  </si>
  <si>
    <t>&lt;=125</t>
  </si>
  <si>
    <t>a-vDO2</t>
  </si>
  <si>
    <t>Qsp/Qt(est)</t>
  </si>
  <si>
    <t>(CcO2-CaO2)</t>
  </si>
  <si>
    <t>(CcO2-CvO2)</t>
  </si>
  <si>
    <t>OI</t>
  </si>
  <si>
    <t>(FiO2</t>
  </si>
  <si>
    <t>MAP)</t>
  </si>
  <si>
    <t>mOsm</t>
  </si>
  <si>
    <t>(2xNa+)</t>
  </si>
  <si>
    <t>Hct (c)</t>
  </si>
  <si>
    <t>Temperature Correction</t>
  </si>
  <si>
    <t>pH(T)</t>
  </si>
  <si>
    <t>pCO2(T)</t>
  </si>
  <si>
    <t>pO2(T)</t>
  </si>
  <si>
    <t>(T-37)</t>
  </si>
  <si>
    <t>[-0.0147 + 0.0065 x (7.4-pH)}</t>
  </si>
  <si>
    <t>10^[0.019 x (T-37)]</t>
  </si>
  <si>
    <t>10^[K x (T-37)]</t>
  </si>
  <si>
    <t>Measured</t>
  </si>
  <si>
    <t>pH (T)</t>
  </si>
  <si>
    <r>
      <t>pCO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</si>
  <si>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pCO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(T)</t>
    </r>
  </si>
  <si>
    <r>
      <t>pO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(T)</t>
    </r>
  </si>
  <si>
    <t>Corrected ()</t>
  </si>
  <si>
    <t>Co-Oximetry</t>
  </si>
  <si>
    <t>Beecf</t>
  </si>
  <si>
    <t>O2ct</t>
  </si>
  <si>
    <t>HCO3-(c)</t>
  </si>
  <si>
    <t>HCO3-std</t>
  </si>
  <si>
    <t>Derived</t>
  </si>
  <si>
    <t>mL/dL</t>
  </si>
  <si>
    <t>Temp</t>
  </si>
  <si>
    <t>BP</t>
  </si>
  <si>
    <t>AG</t>
  </si>
  <si>
    <t>No</t>
  </si>
  <si>
    <t>Operator</t>
  </si>
  <si>
    <t>Nama RS / RSUD / RSUP</t>
  </si>
  <si>
    <r>
      <t>pH</t>
    </r>
    <r>
      <rPr>
        <b/>
        <vertAlign val="subscript"/>
        <sz val="10"/>
        <rFont val="Arial Nova"/>
        <family val="2"/>
      </rPr>
      <t>(T2)</t>
    </r>
    <r>
      <rPr>
        <b/>
        <sz val="10"/>
        <rFont val="Arial Nova"/>
        <family val="2"/>
      </rPr>
      <t xml:space="preserve"> = pH + (temp - 37) * (-0.0147 + 0.0065 * (7.4 - pH))</t>
    </r>
  </si>
  <si>
    <t>K</t>
  </si>
  <si>
    <t>https://patologiklinik.com/2012/01/12/cara-mudah-membaca-analisa-gas-darah/</t>
  </si>
  <si>
    <t>http://www-users.med.cornell.edu/~spon/picu/calc</t>
  </si>
  <si>
    <t>Analyzer</t>
  </si>
  <si>
    <t>Patient</t>
  </si>
  <si>
    <t>Lab Number</t>
  </si>
  <si>
    <t>Medical Record</t>
  </si>
  <si>
    <t>Name</t>
  </si>
  <si>
    <t>&lt;&lt;NAME&gt;&gt;</t>
  </si>
  <si>
    <t>Gender / Age</t>
  </si>
  <si>
    <t>Serial Number</t>
  </si>
  <si>
    <t>&lt;&lt;Serial Number&gt;&gt;</t>
  </si>
  <si>
    <t>Software Version</t>
  </si>
  <si>
    <t>&lt;&lt;Software Version&gt;&gt;</t>
  </si>
  <si>
    <t>Results</t>
  </si>
  <si>
    <t>Crit,</t>
  </si>
  <si>
    <t>Low</t>
  </si>
  <si>
    <t>Reference</t>
  </si>
  <si>
    <t>Crit.</t>
  </si>
  <si>
    <t>High</t>
  </si>
  <si>
    <t>Corrected</t>
  </si>
  <si>
    <r>
      <t xml:space="preserve">(&lt;&lt;&gt;&gt; </t>
    </r>
    <r>
      <rPr>
        <b/>
        <vertAlign val="superscript"/>
        <sz val="9"/>
        <color theme="1"/>
        <rFont val="Arial Nova"/>
        <family val="2"/>
      </rPr>
      <t>O</t>
    </r>
    <r>
      <rPr>
        <b/>
        <sz val="9"/>
        <color theme="1"/>
        <rFont val="Arial Nova"/>
        <family val="2"/>
      </rPr>
      <t>C)</t>
    </r>
  </si>
  <si>
    <r>
      <t>pCO</t>
    </r>
    <r>
      <rPr>
        <vertAlign val="subscript"/>
        <sz val="9"/>
        <color theme="1"/>
        <rFont val="Arial Nova"/>
        <family val="2"/>
      </rPr>
      <t>2</t>
    </r>
    <r>
      <rPr>
        <sz val="9"/>
        <color theme="1"/>
        <rFont val="Arial Nova"/>
        <family val="2"/>
      </rPr>
      <t>(T)</t>
    </r>
  </si>
  <si>
    <r>
      <t>pO</t>
    </r>
    <r>
      <rPr>
        <vertAlign val="subscript"/>
        <sz val="9"/>
        <color theme="1"/>
        <rFont val="Arial Nova"/>
        <family val="2"/>
      </rPr>
      <t>2</t>
    </r>
    <r>
      <rPr>
        <sz val="9"/>
        <color theme="1"/>
        <rFont val="Arial Nova"/>
        <family val="2"/>
      </rPr>
      <t>(T)</t>
    </r>
  </si>
  <si>
    <r>
      <t xml:space="preserve">(37.0 </t>
    </r>
    <r>
      <rPr>
        <b/>
        <vertAlign val="superscript"/>
        <sz val="9"/>
        <color theme="1"/>
        <rFont val="Arial Nova"/>
        <family val="2"/>
      </rPr>
      <t>O</t>
    </r>
    <r>
      <rPr>
        <b/>
        <sz val="9"/>
        <color theme="1"/>
        <rFont val="Arial Nova"/>
        <family val="2"/>
      </rPr>
      <t>C)</t>
    </r>
  </si>
  <si>
    <r>
      <t>pCO</t>
    </r>
    <r>
      <rPr>
        <vertAlign val="subscript"/>
        <sz val="9"/>
        <color theme="1"/>
        <rFont val="Arial Nova"/>
        <family val="2"/>
      </rPr>
      <t>2</t>
    </r>
  </si>
  <si>
    <r>
      <t>pO</t>
    </r>
    <r>
      <rPr>
        <vertAlign val="subscript"/>
        <sz val="9"/>
        <color theme="1"/>
        <rFont val="Arial Nova"/>
        <family val="2"/>
      </rPr>
      <t>2</t>
    </r>
  </si>
  <si>
    <t>Na+</t>
  </si>
  <si>
    <t>K+</t>
  </si>
  <si>
    <t>Cl-</t>
  </si>
  <si>
    <r>
      <t>O</t>
    </r>
    <r>
      <rPr>
        <vertAlign val="subscript"/>
        <sz val="10"/>
        <color theme="1"/>
        <rFont val="Arial Nova"/>
        <family val="2"/>
      </rPr>
      <t>2</t>
    </r>
    <r>
      <rPr>
        <sz val="10"/>
        <color theme="1"/>
        <rFont val="Arial Nova"/>
        <family val="2"/>
      </rPr>
      <t>Hb</t>
    </r>
  </si>
  <si>
    <r>
      <t>sO</t>
    </r>
    <r>
      <rPr>
        <vertAlign val="subscript"/>
        <sz val="10"/>
        <color theme="1"/>
        <rFont val="Arial Nova"/>
        <family val="2"/>
      </rPr>
      <t>2</t>
    </r>
  </si>
  <si>
    <r>
      <t>TCO</t>
    </r>
    <r>
      <rPr>
        <vertAlign val="subscript"/>
        <sz val="9"/>
        <color theme="1"/>
        <rFont val="Arial Nova"/>
        <family val="2"/>
      </rPr>
      <t>2</t>
    </r>
  </si>
  <si>
    <r>
      <t>Ca</t>
    </r>
    <r>
      <rPr>
        <vertAlign val="superscript"/>
        <sz val="9"/>
        <color theme="1"/>
        <rFont val="Arial Nova"/>
        <family val="2"/>
      </rPr>
      <t>++</t>
    </r>
    <r>
      <rPr>
        <sz val="9"/>
        <color theme="1"/>
        <rFont val="Arial Nova"/>
        <family val="2"/>
      </rPr>
      <t>(7.4)</t>
    </r>
  </si>
  <si>
    <r>
      <t>pAO</t>
    </r>
    <r>
      <rPr>
        <vertAlign val="subscript"/>
        <sz val="9"/>
        <color theme="1"/>
        <rFont val="Arial Nova"/>
        <family val="2"/>
      </rPr>
      <t>2</t>
    </r>
  </si>
  <si>
    <r>
      <t>CaO</t>
    </r>
    <r>
      <rPr>
        <vertAlign val="subscript"/>
        <sz val="10"/>
        <color theme="1"/>
        <rFont val="Arial Nova"/>
        <family val="2"/>
      </rPr>
      <t>2</t>
    </r>
  </si>
  <si>
    <r>
      <t>O</t>
    </r>
    <r>
      <rPr>
        <vertAlign val="subscript"/>
        <sz val="10"/>
        <color theme="1"/>
        <rFont val="Arial Nova"/>
        <family val="2"/>
      </rPr>
      <t>2</t>
    </r>
    <r>
      <rPr>
        <sz val="10"/>
        <color theme="1"/>
        <rFont val="Arial Nova"/>
        <family val="2"/>
      </rPr>
      <t>cap</t>
    </r>
  </si>
  <si>
    <r>
      <t>O</t>
    </r>
    <r>
      <rPr>
        <vertAlign val="subscript"/>
        <sz val="10"/>
        <color theme="1"/>
        <rFont val="Arial Nova"/>
        <family val="2"/>
      </rPr>
      <t>2</t>
    </r>
    <r>
      <rPr>
        <sz val="10"/>
        <color theme="1"/>
        <rFont val="Arial Nova"/>
        <family val="2"/>
      </rPr>
      <t>ct</t>
    </r>
  </si>
  <si>
    <t>Ml/dL</t>
  </si>
  <si>
    <r>
      <t>sO</t>
    </r>
    <r>
      <rPr>
        <vertAlign val="subscript"/>
        <sz val="10"/>
        <color theme="1"/>
        <rFont val="Arial Nova"/>
        <family val="2"/>
      </rPr>
      <t>2</t>
    </r>
    <r>
      <rPr>
        <sz val="10"/>
        <color theme="1"/>
        <rFont val="Arial Nova"/>
        <family val="2"/>
      </rPr>
      <t>(c)</t>
    </r>
  </si>
  <si>
    <r>
      <t>HCO</t>
    </r>
    <r>
      <rPr>
        <vertAlign val="subscript"/>
        <sz val="10"/>
        <color theme="1"/>
        <rFont val="Arial Nova"/>
        <family val="2"/>
      </rPr>
      <t>3</t>
    </r>
    <r>
      <rPr>
        <vertAlign val="superscript"/>
        <sz val="10"/>
        <color theme="1"/>
        <rFont val="Arial Nova"/>
        <family val="2"/>
      </rPr>
      <t>-</t>
    </r>
    <r>
      <rPr>
        <sz val="10"/>
        <color theme="1"/>
        <rFont val="Arial Nova"/>
        <family val="2"/>
      </rPr>
      <t>(c)</t>
    </r>
  </si>
  <si>
    <r>
      <t>HCO</t>
    </r>
    <r>
      <rPr>
        <vertAlign val="subscript"/>
        <sz val="10"/>
        <color theme="1"/>
        <rFont val="Arial Nova"/>
        <family val="2"/>
      </rPr>
      <t>3</t>
    </r>
    <r>
      <rPr>
        <vertAlign val="superscript"/>
        <sz val="10"/>
        <color theme="1"/>
        <rFont val="Arial Nova"/>
        <family val="2"/>
      </rPr>
      <t>-</t>
    </r>
    <r>
      <rPr>
        <sz val="10"/>
        <color theme="1"/>
        <rFont val="Arial Nova"/>
        <family val="2"/>
      </rPr>
      <t>std</t>
    </r>
  </si>
  <si>
    <r>
      <t>A-aDO</t>
    </r>
    <r>
      <rPr>
        <vertAlign val="subscript"/>
        <sz val="10"/>
        <color theme="1"/>
        <rFont val="Arial Nova"/>
        <family val="2"/>
      </rPr>
      <t>2</t>
    </r>
  </si>
  <si>
    <r>
      <t>paO</t>
    </r>
    <r>
      <rPr>
        <vertAlign val="subscript"/>
        <sz val="10"/>
        <color theme="1"/>
        <rFont val="Arial Nova"/>
        <family val="2"/>
      </rPr>
      <t>2</t>
    </r>
    <r>
      <rPr>
        <sz val="10"/>
        <color theme="1"/>
        <rFont val="Arial Nova"/>
        <family val="2"/>
      </rPr>
      <t>/pAO</t>
    </r>
    <r>
      <rPr>
        <vertAlign val="subscript"/>
        <sz val="10"/>
        <color theme="1"/>
        <rFont val="Arial Nova"/>
        <family val="2"/>
      </rPr>
      <t>2</t>
    </r>
  </si>
  <si>
    <r>
      <t>CcO</t>
    </r>
    <r>
      <rPr>
        <vertAlign val="subscript"/>
        <sz val="10"/>
        <color theme="1"/>
        <rFont val="Arial Nova"/>
        <family val="2"/>
      </rPr>
      <t>2</t>
    </r>
  </si>
  <si>
    <t>Entered</t>
  </si>
  <si>
    <r>
      <t>O</t>
    </r>
    <r>
      <rPr>
        <sz val="9"/>
        <color theme="1"/>
        <rFont val="Arial Nova"/>
        <family val="2"/>
      </rPr>
      <t>C</t>
    </r>
  </si>
  <si>
    <r>
      <t>FiO</t>
    </r>
    <r>
      <rPr>
        <vertAlign val="subscript"/>
        <sz val="9"/>
        <color theme="1"/>
        <rFont val="Arial Nova"/>
        <family val="2"/>
      </rPr>
      <t>2</t>
    </r>
  </si>
  <si>
    <t>Type</t>
  </si>
  <si>
    <r>
      <t>GEM</t>
    </r>
    <r>
      <rPr>
        <vertAlign val="superscript"/>
        <sz val="9"/>
        <color theme="1"/>
        <rFont val="Arial Nova"/>
        <family val="2"/>
      </rPr>
      <t>®</t>
    </r>
    <r>
      <rPr>
        <sz val="9"/>
        <color theme="1"/>
        <rFont val="Arial Nova"/>
        <family val="2"/>
      </rPr>
      <t xml:space="preserve"> Premier 5000</t>
    </r>
  </si>
  <si>
    <t>&lt;&lt;Lab Number&gt;&gt;</t>
  </si>
  <si>
    <t>&lt;&lt;Medical Record&gt;&gt;</t>
  </si>
  <si>
    <t xml:space="preserve"> </t>
  </si>
  <si>
    <t>&lt;&lt;GENDER&gt;&gt; / &lt;&lt;AGE&gt;&gt;</t>
  </si>
  <si>
    <r>
      <t>O</t>
    </r>
    <r>
      <rPr>
        <vertAlign val="subscript"/>
        <sz val="9"/>
        <color theme="1"/>
        <rFont val="Arial Nova"/>
        <family val="2"/>
      </rPr>
      <t>2</t>
    </r>
    <r>
      <rPr>
        <sz val="9"/>
        <color theme="1"/>
        <rFont val="Arial Nova"/>
        <family val="2"/>
      </rPr>
      <t>Hb</t>
    </r>
  </si>
  <si>
    <r>
      <t>sO</t>
    </r>
    <r>
      <rPr>
        <vertAlign val="subscript"/>
        <sz val="9"/>
        <color theme="1"/>
        <rFont val="Arial Nova"/>
        <family val="2"/>
      </rPr>
      <t>2</t>
    </r>
  </si>
  <si>
    <r>
      <t>CaO</t>
    </r>
    <r>
      <rPr>
        <vertAlign val="subscript"/>
        <sz val="9"/>
        <color theme="1"/>
        <rFont val="Arial Nova"/>
        <family val="2"/>
      </rPr>
      <t>2</t>
    </r>
  </si>
  <si>
    <r>
      <t>O</t>
    </r>
    <r>
      <rPr>
        <vertAlign val="subscript"/>
        <sz val="9"/>
        <color theme="1"/>
        <rFont val="Arial Nova"/>
        <family val="2"/>
      </rPr>
      <t>2</t>
    </r>
    <r>
      <rPr>
        <sz val="9"/>
        <color theme="1"/>
        <rFont val="Arial Nova"/>
        <family val="2"/>
      </rPr>
      <t>cap</t>
    </r>
  </si>
  <si>
    <r>
      <t>O</t>
    </r>
    <r>
      <rPr>
        <vertAlign val="subscript"/>
        <sz val="9"/>
        <color theme="1"/>
        <rFont val="Arial Nova"/>
        <family val="2"/>
      </rPr>
      <t>2</t>
    </r>
    <r>
      <rPr>
        <sz val="9"/>
        <color theme="1"/>
        <rFont val="Arial Nova"/>
        <family val="2"/>
      </rPr>
      <t>ct</t>
    </r>
  </si>
  <si>
    <r>
      <t>sO</t>
    </r>
    <r>
      <rPr>
        <vertAlign val="subscript"/>
        <sz val="9"/>
        <color theme="1"/>
        <rFont val="Arial Nova"/>
        <family val="2"/>
      </rPr>
      <t>2</t>
    </r>
    <r>
      <rPr>
        <sz val="9"/>
        <color theme="1"/>
        <rFont val="Arial Nova"/>
        <family val="2"/>
      </rPr>
      <t>(c)</t>
    </r>
  </si>
  <si>
    <r>
      <t>HCO</t>
    </r>
    <r>
      <rPr>
        <vertAlign val="subscript"/>
        <sz val="9"/>
        <color theme="1"/>
        <rFont val="Arial Nova"/>
        <family val="2"/>
      </rPr>
      <t>3</t>
    </r>
    <r>
      <rPr>
        <vertAlign val="superscript"/>
        <sz val="9"/>
        <color theme="1"/>
        <rFont val="Arial Nova"/>
        <family val="2"/>
      </rPr>
      <t>-</t>
    </r>
    <r>
      <rPr>
        <sz val="9"/>
        <color theme="1"/>
        <rFont val="Arial Nova"/>
        <family val="2"/>
      </rPr>
      <t>(c)</t>
    </r>
  </si>
  <si>
    <r>
      <t>HCO</t>
    </r>
    <r>
      <rPr>
        <vertAlign val="subscript"/>
        <sz val="9"/>
        <color theme="1"/>
        <rFont val="Arial Nova"/>
        <family val="2"/>
      </rPr>
      <t>3</t>
    </r>
    <r>
      <rPr>
        <vertAlign val="superscript"/>
        <sz val="9"/>
        <color theme="1"/>
        <rFont val="Arial Nova"/>
        <family val="2"/>
      </rPr>
      <t>-</t>
    </r>
    <r>
      <rPr>
        <sz val="9"/>
        <color theme="1"/>
        <rFont val="Arial Nova"/>
        <family val="2"/>
      </rPr>
      <t>std</t>
    </r>
  </si>
  <si>
    <r>
      <t>A-aDO</t>
    </r>
    <r>
      <rPr>
        <vertAlign val="subscript"/>
        <sz val="9"/>
        <color theme="1"/>
        <rFont val="Arial Nova"/>
        <family val="2"/>
      </rPr>
      <t>2</t>
    </r>
  </si>
  <si>
    <r>
      <t>paO</t>
    </r>
    <r>
      <rPr>
        <vertAlign val="subscript"/>
        <sz val="9"/>
        <color theme="1"/>
        <rFont val="Arial Nova"/>
        <family val="2"/>
      </rPr>
      <t>2</t>
    </r>
    <r>
      <rPr>
        <sz val="9"/>
        <color theme="1"/>
        <rFont val="Arial Nova"/>
        <family val="2"/>
      </rPr>
      <t>/pAO</t>
    </r>
    <r>
      <rPr>
        <vertAlign val="subscript"/>
        <sz val="9"/>
        <color theme="1"/>
        <rFont val="Arial Nova"/>
        <family val="2"/>
      </rPr>
      <t>2</t>
    </r>
  </si>
  <si>
    <r>
      <t>CcO</t>
    </r>
    <r>
      <rPr>
        <vertAlign val="subscript"/>
        <sz val="9"/>
        <color theme="1"/>
        <rFont val="Arial Nova"/>
        <family val="2"/>
      </rPr>
      <t>2</t>
    </r>
  </si>
  <si>
    <r>
      <t>TCO</t>
    </r>
    <r>
      <rPr>
        <vertAlign val="subscript"/>
        <sz val="8"/>
        <color theme="1"/>
        <rFont val="Arial Nova"/>
        <family val="2"/>
      </rPr>
      <t>2</t>
    </r>
  </si>
  <si>
    <r>
      <t>pCO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>(T)</t>
    </r>
  </si>
  <si>
    <r>
      <t>pO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>(T)</t>
    </r>
  </si>
  <si>
    <r>
      <t xml:space="preserve">(37.0 </t>
    </r>
    <r>
      <rPr>
        <b/>
        <vertAlign val="superscript"/>
        <sz val="8"/>
        <color theme="1"/>
        <rFont val="Arial Nova"/>
        <family val="2"/>
      </rPr>
      <t>O</t>
    </r>
    <r>
      <rPr>
        <b/>
        <sz val="8"/>
        <color theme="1"/>
        <rFont val="Arial Nova"/>
        <family val="2"/>
      </rPr>
      <t>C)</t>
    </r>
  </si>
  <si>
    <r>
      <t>Ca</t>
    </r>
    <r>
      <rPr>
        <vertAlign val="superscript"/>
        <sz val="8"/>
        <color theme="1"/>
        <rFont val="Arial Nova"/>
        <family val="2"/>
      </rPr>
      <t>++</t>
    </r>
    <r>
      <rPr>
        <sz val="8"/>
        <color theme="1"/>
        <rFont val="Arial Nova"/>
        <family val="2"/>
      </rPr>
      <t>(7.4)</t>
    </r>
  </si>
  <si>
    <r>
      <t>pCO</t>
    </r>
    <r>
      <rPr>
        <vertAlign val="subscript"/>
        <sz val="8"/>
        <color theme="1"/>
        <rFont val="Arial Nova"/>
        <family val="2"/>
      </rPr>
      <t>2</t>
    </r>
  </si>
  <si>
    <r>
      <t>pO</t>
    </r>
    <r>
      <rPr>
        <vertAlign val="subscript"/>
        <sz val="8"/>
        <color theme="1"/>
        <rFont val="Arial Nova"/>
        <family val="2"/>
      </rPr>
      <t>2</t>
    </r>
  </si>
  <si>
    <r>
      <t>pAO</t>
    </r>
    <r>
      <rPr>
        <vertAlign val="subscript"/>
        <sz val="8"/>
        <color theme="1"/>
        <rFont val="Arial Nova"/>
        <family val="2"/>
      </rPr>
      <t>2</t>
    </r>
  </si>
  <si>
    <r>
      <t>CaO</t>
    </r>
    <r>
      <rPr>
        <vertAlign val="subscript"/>
        <sz val="8"/>
        <color theme="1"/>
        <rFont val="Arial Nova"/>
        <family val="2"/>
      </rPr>
      <t>2</t>
    </r>
  </si>
  <si>
    <r>
      <t>O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>cap</t>
    </r>
  </si>
  <si>
    <r>
      <t>O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>ct</t>
    </r>
  </si>
  <si>
    <r>
      <t>sO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>(c)</t>
    </r>
  </si>
  <si>
    <r>
      <t>HCO</t>
    </r>
    <r>
      <rPr>
        <vertAlign val="subscript"/>
        <sz val="8"/>
        <color theme="1"/>
        <rFont val="Arial Nova"/>
        <family val="2"/>
      </rPr>
      <t>3</t>
    </r>
    <r>
      <rPr>
        <vertAlign val="superscript"/>
        <sz val="8"/>
        <color theme="1"/>
        <rFont val="Arial Nova"/>
        <family val="2"/>
      </rPr>
      <t>-</t>
    </r>
    <r>
      <rPr>
        <sz val="8"/>
        <color theme="1"/>
        <rFont val="Arial Nova"/>
        <family val="2"/>
      </rPr>
      <t>(c)</t>
    </r>
  </si>
  <si>
    <r>
      <t>HCO</t>
    </r>
    <r>
      <rPr>
        <vertAlign val="subscript"/>
        <sz val="8"/>
        <color theme="1"/>
        <rFont val="Arial Nova"/>
        <family val="2"/>
      </rPr>
      <t>3</t>
    </r>
    <r>
      <rPr>
        <vertAlign val="superscript"/>
        <sz val="8"/>
        <color theme="1"/>
        <rFont val="Arial Nova"/>
        <family val="2"/>
      </rPr>
      <t>-</t>
    </r>
    <r>
      <rPr>
        <sz val="8"/>
        <color theme="1"/>
        <rFont val="Arial Nova"/>
        <family val="2"/>
      </rPr>
      <t>std</t>
    </r>
  </si>
  <si>
    <r>
      <t>A-aDO</t>
    </r>
    <r>
      <rPr>
        <vertAlign val="subscript"/>
        <sz val="8"/>
        <color theme="1"/>
        <rFont val="Arial Nova"/>
        <family val="2"/>
      </rPr>
      <t>2</t>
    </r>
  </si>
  <si>
    <r>
      <t>paO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>/pAO</t>
    </r>
    <r>
      <rPr>
        <vertAlign val="subscript"/>
        <sz val="8"/>
        <color theme="1"/>
        <rFont val="Arial Nova"/>
        <family val="2"/>
      </rPr>
      <t>2</t>
    </r>
  </si>
  <si>
    <r>
      <t>O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>Hb</t>
    </r>
  </si>
  <si>
    <r>
      <t>CcO</t>
    </r>
    <r>
      <rPr>
        <vertAlign val="subscript"/>
        <sz val="8"/>
        <color theme="1"/>
        <rFont val="Arial Nova"/>
        <family val="2"/>
      </rPr>
      <t>2</t>
    </r>
  </si>
  <si>
    <r>
      <t>sO</t>
    </r>
    <r>
      <rPr>
        <vertAlign val="subscript"/>
        <sz val="8"/>
        <color theme="1"/>
        <rFont val="Arial Nova"/>
        <family val="2"/>
      </rPr>
      <t>2</t>
    </r>
  </si>
  <si>
    <r>
      <t>O</t>
    </r>
    <r>
      <rPr>
        <sz val="8"/>
        <color theme="1"/>
        <rFont val="Arial Nova"/>
        <family val="2"/>
      </rPr>
      <t>C</t>
    </r>
  </si>
  <si>
    <r>
      <t>FiO</t>
    </r>
    <r>
      <rPr>
        <vertAlign val="subscript"/>
        <sz val="8"/>
        <color theme="1"/>
        <rFont val="Arial Nova"/>
        <family val="2"/>
      </rPr>
      <t>2</t>
    </r>
  </si>
  <si>
    <t>&lt;&lt;S V&gt;&gt;</t>
  </si>
  <si>
    <t>&lt;&lt;S N&gt;&gt;</t>
  </si>
  <si>
    <t>&lt;&lt;Gender&gt;&gt;</t>
  </si>
  <si>
    <t>&lt;&lt;Age&gt;&gt;</t>
  </si>
  <si>
    <t>Sehat Senantiasa</t>
  </si>
  <si>
    <t>abadi</t>
  </si>
  <si>
    <r>
      <t>O</t>
    </r>
    <r>
      <rPr>
        <vertAlign val="subscript"/>
        <sz val="11"/>
        <color theme="0"/>
        <rFont val="Aptos Narrow"/>
        <family val="2"/>
        <scheme val="minor"/>
      </rPr>
      <t>2</t>
    </r>
    <r>
      <rPr>
        <sz val="11"/>
        <color theme="0"/>
        <rFont val="Aptos Narrow"/>
        <family val="2"/>
        <scheme val="minor"/>
      </rPr>
      <t>Hb</t>
    </r>
  </si>
  <si>
    <r>
      <t>pCO</t>
    </r>
    <r>
      <rPr>
        <vertAlign val="subscript"/>
        <sz val="11"/>
        <color theme="0"/>
        <rFont val="Aptos Narrow"/>
        <family val="2"/>
        <scheme val="minor"/>
      </rPr>
      <t>2</t>
    </r>
  </si>
  <si>
    <r>
      <t>pO</t>
    </r>
    <r>
      <rPr>
        <vertAlign val="subscript"/>
        <sz val="11"/>
        <color theme="0"/>
        <rFont val="Aptos Narrow"/>
        <family val="2"/>
        <scheme val="minor"/>
      </rPr>
      <t>2</t>
    </r>
  </si>
  <si>
    <r>
      <t>sO</t>
    </r>
    <r>
      <rPr>
        <vertAlign val="subscript"/>
        <sz val="11"/>
        <color theme="0"/>
        <rFont val="Aptos Narrow"/>
        <family val="2"/>
        <scheme val="minor"/>
      </rPr>
      <t>2</t>
    </r>
  </si>
  <si>
    <r>
      <t xml:space="preserve">(&lt;&lt;Temp&gt;&gt; </t>
    </r>
    <r>
      <rPr>
        <b/>
        <vertAlign val="superscript"/>
        <sz val="8"/>
        <color theme="1"/>
        <rFont val="Arial Nova"/>
        <family val="2"/>
      </rPr>
      <t>O</t>
    </r>
    <r>
      <rPr>
        <b/>
        <sz val="8"/>
        <color theme="1"/>
        <rFont val="Arial Nova"/>
        <family val="2"/>
      </rPr>
      <t>C)</t>
    </r>
  </si>
  <si>
    <t>pH+(T-37)*(0.0147+0.0065*(7.4-pH))</t>
  </si>
  <si>
    <t>pCO2*10^[0.019 x (T-37)]</t>
  </si>
  <si>
    <t>pO2*10^[K x (T-37)]</t>
  </si>
  <si>
    <t>3.0*Hb</t>
  </si>
  <si>
    <t>Hct(c)</t>
  </si>
  <si>
    <t>tHb(c)</t>
  </si>
  <si>
    <t>0.34*Hct</t>
  </si>
  <si>
    <t>Help Formula</t>
  </si>
  <si>
    <r>
      <t>100*[O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Hb/(O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Hb+HHb)]</t>
    </r>
  </si>
  <si>
    <r>
      <t>pO</t>
    </r>
    <r>
      <rPr>
        <vertAlign val="subscript"/>
        <sz val="11"/>
        <color theme="1"/>
        <rFont val="Aptos Narrow"/>
        <family val="2"/>
        <scheme val="minor"/>
      </rPr>
      <t>2pp</t>
    </r>
  </si>
  <si>
    <t>C (K)</t>
  </si>
  <si>
    <r>
      <t>(pO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/26.7)^</t>
    </r>
    <r>
      <rPr>
        <vertAlign val="superscript"/>
        <sz val="11"/>
        <color theme="1"/>
        <rFont val="Aptos Narrow"/>
        <family val="2"/>
        <scheme val="minor"/>
      </rPr>
      <t>0.184</t>
    </r>
  </si>
  <si>
    <r>
      <t>(23400*(pO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^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+150*pO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)^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+1)^</t>
    </r>
    <r>
      <rPr>
        <vertAlign val="superscript"/>
        <sz val="11"/>
        <color theme="1"/>
        <rFont val="Aptos Narrow"/>
        <family val="2"/>
        <scheme val="minor"/>
      </rPr>
      <t>-1</t>
    </r>
  </si>
  <si>
    <r>
      <t>(1-0.014*tHb)*(HCO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>-24.8+(1.43 x tHb +7.7)*(pH - 7.4))</t>
    </r>
  </si>
  <si>
    <r>
      <t>HCO</t>
    </r>
    <r>
      <rPr>
        <b/>
        <vertAlign val="subscript"/>
        <sz val="10"/>
        <color theme="1"/>
        <rFont val="Arial Nova"/>
        <family val="2"/>
      </rPr>
      <t>3</t>
    </r>
    <r>
      <rPr>
        <b/>
        <vertAlign val="superscript"/>
        <sz val="10"/>
        <color theme="1"/>
        <rFont val="Arial Nova"/>
        <family val="2"/>
      </rPr>
      <t>-</t>
    </r>
    <r>
      <rPr>
        <b/>
        <vertAlign val="subscript"/>
        <sz val="10"/>
        <color theme="1"/>
        <rFont val="Arial Nova"/>
        <family val="2"/>
      </rPr>
      <t>(c)</t>
    </r>
    <r>
      <rPr>
        <b/>
        <sz val="10"/>
        <color theme="1"/>
        <rFont val="Arial Nova"/>
        <family val="2"/>
      </rPr>
      <t xml:space="preserve"> = 10</t>
    </r>
    <r>
      <rPr>
        <b/>
        <vertAlign val="superscript"/>
        <sz val="10"/>
        <color theme="1"/>
        <rFont val="Arial Nova"/>
        <family val="2"/>
      </rPr>
      <t>(pH + log(pCO2) – 7.608)</t>
    </r>
  </si>
  <si>
    <r>
      <t>BE</t>
    </r>
    <r>
      <rPr>
        <b/>
        <vertAlign val="subscript"/>
        <sz val="10"/>
        <color theme="1"/>
        <rFont val="Arial Nova"/>
        <family val="2"/>
      </rPr>
      <t>(ecf)</t>
    </r>
    <r>
      <rPr>
        <b/>
        <sz val="10"/>
        <color theme="1"/>
        <rFont val="Arial Nova"/>
        <family val="2"/>
      </rPr>
      <t xml:space="preserve"> = HCO</t>
    </r>
    <r>
      <rPr>
        <b/>
        <vertAlign val="subscript"/>
        <sz val="10"/>
        <color theme="1"/>
        <rFont val="Arial Nova"/>
        <family val="2"/>
      </rPr>
      <t>3</t>
    </r>
    <r>
      <rPr>
        <b/>
        <vertAlign val="superscript"/>
        <sz val="10"/>
        <color theme="1"/>
        <rFont val="Arial Nova"/>
        <family val="2"/>
      </rPr>
      <t>-</t>
    </r>
    <r>
      <rPr>
        <b/>
        <sz val="10"/>
        <color theme="1"/>
        <rFont val="Arial Nova"/>
        <family val="2"/>
      </rPr>
      <t xml:space="preserve"> - 24.8 + 16.2 x (pH - 7.4)</t>
    </r>
  </si>
  <si>
    <r>
      <t>Ca</t>
    </r>
    <r>
      <rPr>
        <b/>
        <vertAlign val="superscript"/>
        <sz val="10"/>
        <rFont val="Arial Nova"/>
        <family val="2"/>
      </rPr>
      <t>++</t>
    </r>
    <r>
      <rPr>
        <b/>
        <sz val="10"/>
        <rFont val="Arial Nova"/>
        <family val="2"/>
      </rPr>
      <t>(7.4) = Ca</t>
    </r>
    <r>
      <rPr>
        <b/>
        <vertAlign val="superscript"/>
        <sz val="10"/>
        <rFont val="Arial Nova"/>
        <family val="2"/>
      </rPr>
      <t>++</t>
    </r>
    <r>
      <rPr>
        <b/>
        <sz val="10"/>
        <rFont val="Arial Nova"/>
        <family val="2"/>
      </rPr>
      <t xml:space="preserve"> * 10</t>
    </r>
    <r>
      <rPr>
        <b/>
        <vertAlign val="superscript"/>
        <sz val="10"/>
        <rFont val="Arial Nova"/>
        <family val="2"/>
      </rPr>
      <t>(-0.178 * (7.4 - PH))</t>
    </r>
  </si>
  <si>
    <r>
      <t>AG = (Na</t>
    </r>
    <r>
      <rPr>
        <b/>
        <vertAlign val="superscript"/>
        <sz val="10"/>
        <color theme="1"/>
        <rFont val="Arial Nova"/>
        <family val="2"/>
      </rPr>
      <t>++</t>
    </r>
    <r>
      <rPr>
        <b/>
        <sz val="10"/>
        <color theme="1"/>
        <rFont val="Arial Nova"/>
        <family val="2"/>
      </rPr>
      <t xml:space="preserve"> + K</t>
    </r>
    <r>
      <rPr>
        <b/>
        <vertAlign val="superscript"/>
        <sz val="10"/>
        <color theme="1"/>
        <rFont val="Arial Nova"/>
        <family val="2"/>
      </rPr>
      <t>+</t>
    </r>
    <r>
      <rPr>
        <b/>
        <sz val="10"/>
        <color theme="1"/>
        <rFont val="Arial Nova"/>
        <family val="2"/>
      </rPr>
      <t>) - (Cl</t>
    </r>
    <r>
      <rPr>
        <b/>
        <vertAlign val="superscript"/>
        <sz val="10"/>
        <color theme="1"/>
        <rFont val="Arial Nova"/>
        <family val="2"/>
      </rPr>
      <t>-</t>
    </r>
    <r>
      <rPr>
        <b/>
        <sz val="10"/>
        <color theme="1"/>
        <rFont val="Arial Nova"/>
        <family val="2"/>
      </rPr>
      <t xml:space="preserve"> + HCO3</t>
    </r>
    <r>
      <rPr>
        <b/>
        <vertAlign val="superscript"/>
        <sz val="10"/>
        <color theme="1"/>
        <rFont val="Arial Nova"/>
        <family val="2"/>
      </rPr>
      <t>-</t>
    </r>
    <r>
      <rPr>
        <b/>
        <sz val="10"/>
        <color theme="1"/>
        <rFont val="Arial Nova"/>
        <family val="2"/>
      </rPr>
      <t>)</t>
    </r>
  </si>
  <si>
    <r>
      <t>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ct (mL/dL) = (0.0139 x tHb x 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Hb) + 0.00314 x pO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(T)</t>
    </r>
  </si>
  <si>
    <r>
      <t>HCO</t>
    </r>
    <r>
      <rPr>
        <b/>
        <vertAlign val="subscript"/>
        <sz val="10"/>
        <color theme="1"/>
        <rFont val="Arial Nova"/>
        <family val="2"/>
      </rPr>
      <t>3</t>
    </r>
    <r>
      <rPr>
        <b/>
        <vertAlign val="superscript"/>
        <sz val="10"/>
        <color theme="1"/>
        <rFont val="Arial Nova"/>
        <family val="2"/>
      </rPr>
      <t>-</t>
    </r>
    <r>
      <rPr>
        <b/>
        <vertAlign val="subscript"/>
        <sz val="10"/>
        <color theme="1"/>
        <rFont val="Arial Nova"/>
        <family val="2"/>
      </rPr>
      <t xml:space="preserve">std </t>
    </r>
    <r>
      <rPr>
        <b/>
        <sz val="10"/>
        <color theme="1"/>
        <rFont val="Arial Nova"/>
        <family val="2"/>
      </rPr>
      <t>= 25 + 0.78 x BE(B) + 0.002 x tHb x (O</t>
    </r>
    <r>
      <rPr>
        <b/>
        <vertAlign val="subscript"/>
        <sz val="10"/>
        <color theme="1"/>
        <rFont val="Arial Nova"/>
        <family val="2"/>
      </rPr>
      <t>2</t>
    </r>
    <r>
      <rPr>
        <b/>
        <sz val="10"/>
        <color theme="1"/>
        <rFont val="Arial Nova"/>
        <family val="2"/>
      </rPr>
      <t>Hb -100)</t>
    </r>
  </si>
  <si>
    <r>
      <t>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cap mL/dL = (tHb - tHb x (100-O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Hb -HHb)) x 1.39</t>
    </r>
  </si>
  <si>
    <r>
      <t>CaO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mL/dL = 0.0139 x tHb x 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Hb + 0.0031 x paO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(T)</t>
    </r>
  </si>
  <si>
    <r>
      <t>pAO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mmHg = FIO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x (BP – 47) – 1.25 x paCO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(T)</t>
    </r>
  </si>
  <si>
    <r>
      <t>BE</t>
    </r>
    <r>
      <rPr>
        <b/>
        <vertAlign val="subscript"/>
        <sz val="10"/>
        <color theme="1"/>
        <rFont val="Arial Nova"/>
        <family val="2"/>
      </rPr>
      <t>(B)</t>
    </r>
    <r>
      <rPr>
        <b/>
        <sz val="10"/>
        <color theme="1"/>
        <rFont val="Arial Nova"/>
        <family val="2"/>
      </rPr>
      <t xml:space="preserve"> mmol/L = (1 - 0.014 x tHb) x [HCO</t>
    </r>
    <r>
      <rPr>
        <b/>
        <vertAlign val="subscript"/>
        <sz val="10"/>
        <color theme="1"/>
        <rFont val="Arial Nova"/>
        <family val="2"/>
      </rPr>
      <t>3</t>
    </r>
    <r>
      <rPr>
        <b/>
        <vertAlign val="superscript"/>
        <sz val="10"/>
        <color theme="1"/>
        <rFont val="Arial Nova"/>
        <family val="2"/>
      </rPr>
      <t>-</t>
    </r>
    <r>
      <rPr>
        <b/>
        <sz val="10"/>
        <color theme="1"/>
        <rFont val="Arial Nova"/>
        <family val="2"/>
      </rPr>
      <t xml:space="preserve"> - 24.8 + (1.43 x tHb + 7.7) x (pH - 7.4)]</t>
    </r>
  </si>
  <si>
    <r>
      <t>TCO</t>
    </r>
    <r>
      <rPr>
        <b/>
        <vertAlign val="subscript"/>
        <sz val="10"/>
        <color theme="1"/>
        <rFont val="Arial Nova"/>
        <family val="2"/>
      </rPr>
      <t xml:space="preserve">2 </t>
    </r>
    <r>
      <rPr>
        <b/>
        <sz val="10"/>
        <color theme="1"/>
        <rFont val="Arial Nova"/>
        <family val="2"/>
      </rPr>
      <t>= HCO</t>
    </r>
    <r>
      <rPr>
        <b/>
        <vertAlign val="subscript"/>
        <sz val="10"/>
        <color theme="1"/>
        <rFont val="Arial Nova"/>
        <family val="2"/>
      </rPr>
      <t>3</t>
    </r>
    <r>
      <rPr>
        <b/>
        <vertAlign val="superscript"/>
        <sz val="10"/>
        <color theme="1"/>
        <rFont val="Arial Nova"/>
        <family val="2"/>
      </rPr>
      <t>-</t>
    </r>
    <r>
      <rPr>
        <b/>
        <sz val="10"/>
        <color theme="1"/>
        <rFont val="Arial Nova"/>
        <family val="2"/>
      </rPr>
      <t xml:space="preserve"> + 0.0307 x pCO</t>
    </r>
    <r>
      <rPr>
        <b/>
        <vertAlign val="subscript"/>
        <sz val="10"/>
        <color theme="1"/>
        <rFont val="Arial Nova"/>
        <family val="2"/>
      </rPr>
      <t>2</t>
    </r>
  </si>
  <si>
    <r>
      <t>sO</t>
    </r>
    <r>
      <rPr>
        <b/>
        <vertAlign val="subscript"/>
        <sz val="10"/>
        <color theme="1"/>
        <rFont val="Arial Nova"/>
        <family val="2"/>
      </rPr>
      <t>2(c)</t>
    </r>
    <r>
      <rPr>
        <b/>
        <sz val="10"/>
        <color theme="1"/>
        <rFont val="Arial Nova"/>
        <family val="2"/>
      </rPr>
      <t xml:space="preserve"> = (23400*(pO</t>
    </r>
    <r>
      <rPr>
        <b/>
        <vertAlign val="subscript"/>
        <sz val="10"/>
        <color theme="1"/>
        <rFont val="Arial Nova"/>
        <family val="2"/>
      </rPr>
      <t>2</t>
    </r>
    <r>
      <rPr>
        <b/>
        <vertAlign val="superscript"/>
        <sz val="10"/>
        <color theme="1"/>
        <rFont val="Arial Nova"/>
        <family val="2"/>
      </rPr>
      <t>3</t>
    </r>
    <r>
      <rPr>
        <b/>
        <sz val="10"/>
        <color theme="1"/>
        <rFont val="Arial Nova"/>
        <family val="2"/>
      </rPr>
      <t xml:space="preserve"> + 150*pO</t>
    </r>
    <r>
      <rPr>
        <b/>
        <vertAlign val="subscript"/>
        <sz val="10"/>
        <color theme="1"/>
        <rFont val="Arial Nova"/>
        <family val="2"/>
      </rPr>
      <t>2</t>
    </r>
    <r>
      <rPr>
        <b/>
        <sz val="10"/>
        <color theme="1"/>
        <rFont val="Arial Nova"/>
        <family val="2"/>
      </rPr>
      <t>)^</t>
    </r>
    <r>
      <rPr>
        <b/>
        <vertAlign val="superscript"/>
        <sz val="10"/>
        <color theme="1"/>
        <rFont val="Arial Nova"/>
        <family val="2"/>
      </rPr>
      <t>-1 + 1)^-1)</t>
    </r>
    <r>
      <rPr>
        <b/>
        <sz val="10"/>
        <color theme="1"/>
        <rFont val="Arial Nova"/>
        <family val="2"/>
      </rPr>
      <t>*100</t>
    </r>
  </si>
  <si>
    <r>
      <t>A-aDO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mmHg = pAO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– paO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(T)</t>
    </r>
  </si>
  <si>
    <r>
      <t>RI = A-aDO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/ paO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(T)</t>
    </r>
  </si>
  <si>
    <r>
      <t>CcO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mL/dL= (1.39 x tHb x alpha) +0.00314 x pAO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</si>
  <si>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t>C = 0, if pAO2 is &gt; 150 C = 0.01, if pAO2 is &gt; 125, but ≤150 C = 0.02, if pAO2 is ≤ 125</t>
  </si>
  <si>
    <t>alpha = (1 - COHb/100) – C</t>
  </si>
  <si>
    <r>
      <t xml:space="preserve">Qsp/Qt </t>
    </r>
    <r>
      <rPr>
        <b/>
        <vertAlign val="subscript"/>
        <sz val="11"/>
        <color theme="1"/>
        <rFont val="Aptos Narrow"/>
        <family val="2"/>
        <scheme val="minor"/>
      </rPr>
      <t>(est)</t>
    </r>
    <r>
      <rPr>
        <b/>
        <sz val="11"/>
        <color theme="1"/>
        <rFont val="Aptos Narrow"/>
        <family val="2"/>
        <scheme val="minor"/>
      </rPr>
      <t xml:space="preserve"> % = 100 x (CcO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– CaO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 / (3.5 + CcO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– CaO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</si>
  <si>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OI = (FiO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x MAP) / paO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</si>
  <si>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sO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(oximetri) = 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Hb/(O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Hb+HHb)*100</t>
    </r>
  </si>
  <si>
    <r>
      <t>tHb</t>
    </r>
    <r>
      <rPr>
        <b/>
        <vertAlign val="subscript"/>
        <sz val="10"/>
        <rFont val="Arial Nova"/>
        <family val="2"/>
      </rPr>
      <t>(c)</t>
    </r>
    <r>
      <rPr>
        <b/>
        <sz val="10"/>
        <rFont val="Arial Nova"/>
        <family val="2"/>
      </rPr>
      <t xml:space="preserve"> = 0.34 * Hct</t>
    </r>
  </si>
  <si>
    <r>
      <t>Hct</t>
    </r>
    <r>
      <rPr>
        <b/>
        <vertAlign val="subscript"/>
        <sz val="10"/>
        <rFont val="Arial Nova"/>
        <family val="2"/>
      </rPr>
      <t>(c)</t>
    </r>
    <r>
      <rPr>
        <b/>
        <sz val="10"/>
        <rFont val="Arial Nova"/>
        <family val="2"/>
      </rPr>
      <t>= 3.0 * tHb</t>
    </r>
  </si>
  <si>
    <r>
      <t>P</t>
    </r>
    <r>
      <rPr>
        <vertAlign val="subscript"/>
        <sz val="11"/>
        <color rgb="FF333333"/>
        <rFont val="Verdana"/>
        <family val="2"/>
      </rPr>
      <t>A</t>
    </r>
    <r>
      <rPr>
        <sz val="8"/>
        <color rgb="FF333333"/>
        <rFont val="Verdana"/>
        <family val="2"/>
      </rPr>
      <t>O</t>
    </r>
    <r>
      <rPr>
        <vertAlign val="subscript"/>
        <sz val="11"/>
        <color rgb="FF333333"/>
        <rFont val="Verdana"/>
        <family val="2"/>
      </rPr>
      <t>2</t>
    </r>
    <r>
      <rPr>
        <sz val="8"/>
        <color rgb="FF333333"/>
        <rFont val="Verdana"/>
        <family val="2"/>
      </rPr>
      <t> = ( F</t>
    </r>
    <r>
      <rPr>
        <vertAlign val="subscript"/>
        <sz val="11"/>
        <color rgb="FF333333"/>
        <rFont val="Verdana"/>
        <family val="2"/>
      </rPr>
      <t>i</t>
    </r>
    <r>
      <rPr>
        <sz val="8"/>
        <color rgb="FF333333"/>
        <rFont val="Verdana"/>
        <family val="2"/>
      </rPr>
      <t>O</t>
    </r>
    <r>
      <rPr>
        <vertAlign val="subscript"/>
        <sz val="11"/>
        <color rgb="FF333333"/>
        <rFont val="Verdana"/>
        <family val="2"/>
      </rPr>
      <t>2</t>
    </r>
    <r>
      <rPr>
        <sz val="8"/>
        <color rgb="FF333333"/>
        <rFont val="Verdana"/>
        <family val="2"/>
      </rPr>
      <t> * (760 - 47)) - (P</t>
    </r>
    <r>
      <rPr>
        <vertAlign val="subscript"/>
        <sz val="11"/>
        <color rgb="FF333333"/>
        <rFont val="Verdana"/>
        <family val="2"/>
      </rPr>
      <t>a</t>
    </r>
    <r>
      <rPr>
        <sz val="8"/>
        <color rgb="FF333333"/>
        <rFont val="Verdana"/>
        <family val="2"/>
      </rPr>
      <t>CO</t>
    </r>
    <r>
      <rPr>
        <vertAlign val="subscript"/>
        <sz val="11"/>
        <color rgb="FF333333"/>
        <rFont val="Verdana"/>
        <family val="2"/>
      </rPr>
      <t>2</t>
    </r>
    <r>
      <rPr>
        <sz val="8"/>
        <color rgb="FF333333"/>
        <rFont val="Verdana"/>
        <family val="2"/>
      </rPr>
      <t> / 0.8)</t>
    </r>
  </si>
  <si>
    <r>
      <t>A-a gradient = P</t>
    </r>
    <r>
      <rPr>
        <vertAlign val="subscript"/>
        <sz val="11"/>
        <color rgb="FF333333"/>
        <rFont val="Verdana"/>
        <family val="2"/>
      </rPr>
      <t>A</t>
    </r>
    <r>
      <rPr>
        <sz val="8"/>
        <color rgb="FF333333"/>
        <rFont val="Verdana"/>
        <family val="2"/>
      </rPr>
      <t>O</t>
    </r>
    <r>
      <rPr>
        <vertAlign val="subscript"/>
        <sz val="11"/>
        <color rgb="FF333333"/>
        <rFont val="Verdana"/>
        <family val="2"/>
      </rPr>
      <t>2</t>
    </r>
    <r>
      <rPr>
        <sz val="8"/>
        <color rgb="FF333333"/>
        <rFont val="Verdana"/>
        <family val="2"/>
      </rPr>
      <t> - P</t>
    </r>
    <r>
      <rPr>
        <vertAlign val="subscript"/>
        <sz val="11"/>
        <color rgb="FF333333"/>
        <rFont val="Verdana"/>
        <family val="2"/>
      </rPr>
      <t>a</t>
    </r>
    <r>
      <rPr>
        <sz val="8"/>
        <color rgb="FF333333"/>
        <rFont val="Verdana"/>
        <family val="2"/>
      </rPr>
      <t>O</t>
    </r>
    <r>
      <rPr>
        <vertAlign val="subscript"/>
        <sz val="11"/>
        <color rgb="FF333333"/>
        <rFont val="Verdana"/>
        <family val="2"/>
      </rPr>
      <t>2</t>
    </r>
  </si>
  <si>
    <r>
      <t>P</t>
    </r>
    <r>
      <rPr>
        <vertAlign val="subscript"/>
        <sz val="11"/>
        <color rgb="FF333333"/>
        <rFont val="Verdana"/>
        <family val="2"/>
      </rPr>
      <t>A</t>
    </r>
    <r>
      <rPr>
        <sz val="8"/>
        <color rgb="FF333333"/>
        <rFont val="Verdana"/>
        <family val="2"/>
      </rPr>
      <t>O</t>
    </r>
    <r>
      <rPr>
        <vertAlign val="subscript"/>
        <sz val="11"/>
        <color rgb="FF333333"/>
        <rFont val="Verdana"/>
        <family val="2"/>
      </rPr>
      <t>2</t>
    </r>
    <r>
      <rPr>
        <sz val="8"/>
        <color rgb="FF333333"/>
        <rFont val="Verdana"/>
        <family val="2"/>
      </rPr>
      <t> = ( F</t>
    </r>
    <r>
      <rPr>
        <vertAlign val="subscript"/>
        <sz val="11"/>
        <color rgb="FF333333"/>
        <rFont val="Verdana"/>
        <family val="2"/>
      </rPr>
      <t>i</t>
    </r>
    <r>
      <rPr>
        <sz val="8"/>
        <color rgb="FF333333"/>
        <rFont val="Verdana"/>
        <family val="2"/>
      </rPr>
      <t>O</t>
    </r>
    <r>
      <rPr>
        <vertAlign val="subscript"/>
        <sz val="11"/>
        <color rgb="FF333333"/>
        <rFont val="Verdana"/>
        <family val="2"/>
      </rPr>
      <t>2</t>
    </r>
    <r>
      <rPr>
        <sz val="8"/>
        <color rgb="FF333333"/>
        <rFont val="Verdana"/>
        <family val="2"/>
      </rPr>
      <t> * (P</t>
    </r>
    <r>
      <rPr>
        <vertAlign val="subscript"/>
        <sz val="11"/>
        <color rgb="FF333333"/>
        <rFont val="Verdana"/>
        <family val="2"/>
      </rPr>
      <t>atmos</t>
    </r>
    <r>
      <rPr>
        <sz val="8"/>
        <color rgb="FF333333"/>
        <rFont val="Verdana"/>
        <family val="2"/>
      </rPr>
      <t> - P</t>
    </r>
    <r>
      <rPr>
        <vertAlign val="subscript"/>
        <sz val="11"/>
        <color rgb="FF333333"/>
        <rFont val="Verdana"/>
        <family val="2"/>
      </rPr>
      <t>H2O</t>
    </r>
    <r>
      <rPr>
        <sz val="8"/>
        <color rgb="FF333333"/>
        <rFont val="Verdana"/>
        <family val="2"/>
      </rPr>
      <t>)) - (P</t>
    </r>
    <r>
      <rPr>
        <vertAlign val="subscript"/>
        <sz val="11"/>
        <color rgb="FF333333"/>
        <rFont val="Verdana"/>
        <family val="2"/>
      </rPr>
      <t>a</t>
    </r>
    <r>
      <rPr>
        <sz val="8"/>
        <color rgb="FF333333"/>
        <rFont val="Verdana"/>
        <family val="2"/>
      </rPr>
      <t>CO</t>
    </r>
    <r>
      <rPr>
        <vertAlign val="subscript"/>
        <sz val="11"/>
        <color rgb="FF333333"/>
        <rFont val="Verdana"/>
        <family val="2"/>
      </rPr>
      <t>2</t>
    </r>
    <r>
      <rPr>
        <sz val="8"/>
        <color rgb="FF333333"/>
        <rFont val="Verdana"/>
        <family val="2"/>
      </rPr>
      <t> / RQ)</t>
    </r>
  </si>
  <si>
    <t>Oxygen Content</t>
  </si>
  <si>
    <t>Alveoral gas ecuation</t>
  </si>
  <si>
    <t>Oxygen Index</t>
  </si>
  <si>
    <t xml:space="preserve">
OI =	(FiO2 * MAP)/PaO2</t>
  </si>
  <si>
    <t>CaO2 = (1.36 * Hgb *SaO2+ 0.0031 * PaO2)/100</t>
  </si>
  <si>
    <t>SO2 = (23,400 * (pO23 + 150 * pO2)-1 + 1)-1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</si>
</sst>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37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 Nova"/>
      <family val="2"/>
    </font>
    <font>
      <b/>
      <vertAlign val="subscript"/>
      <sz val="10"/>
      <name val="Arial Nova"/>
      <family val="2"/>
    </font>
    <font>
      <b/>
      <sz val="11"/>
      <color theme="1"/>
      <name val="Arial Nova"/>
      <family val="2"/>
    </font>
    <font>
      <sz val="11"/>
      <color theme="1"/>
      <name val="Arial Nova"/>
      <family val="2"/>
    </font>
    <font>
      <sz val="9"/>
      <color theme="1"/>
      <name val="Arial Nova"/>
      <family val="2"/>
    </font>
    <font>
      <b/>
      <sz val="9"/>
      <color theme="1"/>
      <name val="Arial Nova"/>
      <family val="2"/>
    </font>
    <font>
      <b/>
      <vertAlign val="superscript"/>
      <sz val="9"/>
      <color theme="1"/>
      <name val="Arial Nova"/>
      <family val="2"/>
    </font>
    <font>
      <vertAlign val="subscript"/>
      <sz val="9"/>
      <color theme="1"/>
      <name val="Arial Nova"/>
      <family val="2"/>
    </font>
    <font>
      <sz val="10"/>
      <color theme="1"/>
      <name val="Arial Nova"/>
      <family val="2"/>
    </font>
    <font>
      <vertAlign val="subscript"/>
      <sz val="10"/>
      <color theme="1"/>
      <name val="Arial Nova"/>
      <family val="2"/>
    </font>
    <font>
      <vertAlign val="superscript"/>
      <sz val="9"/>
      <color theme="1"/>
      <name val="Arial Nova"/>
      <family val="2"/>
    </font>
    <font>
      <vertAlign val="superscript"/>
      <sz val="10"/>
      <color theme="1"/>
      <name val="Arial Nova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rial Nova"/>
      <family val="2"/>
    </font>
    <font>
      <sz val="8"/>
      <color theme="1"/>
      <name val="Aptos Narrow"/>
      <family val="2"/>
      <scheme val="minor"/>
    </font>
    <font>
      <b/>
      <sz val="8"/>
      <color theme="1"/>
      <name val="Arial Nova"/>
      <family val="2"/>
    </font>
    <font>
      <b/>
      <vertAlign val="superscript"/>
      <sz val="8"/>
      <color theme="1"/>
      <name val="Arial Nova"/>
      <family val="2"/>
    </font>
    <font>
      <vertAlign val="subscript"/>
      <sz val="8"/>
      <color theme="1"/>
      <name val="Arial Nova"/>
      <family val="2"/>
    </font>
    <font>
      <vertAlign val="superscript"/>
      <sz val="8"/>
      <color theme="1"/>
      <name val="Arial Nova"/>
      <family val="2"/>
    </font>
    <font>
      <sz val="12"/>
      <color theme="1"/>
      <name val="Arial Nova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0"/>
      <name val="Aptos Narrow"/>
      <family val="2"/>
      <scheme val="minor"/>
    </font>
    <font>
      <sz val="8"/>
      <name val="Arial Nova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 Nova"/>
      <family val="2"/>
    </font>
    <font>
      <b/>
      <vertAlign val="subscript"/>
      <sz val="10"/>
      <color theme="1"/>
      <name val="Arial Nova"/>
      <family val="2"/>
    </font>
    <font>
      <b/>
      <vertAlign val="superscript"/>
      <sz val="10"/>
      <color theme="1"/>
      <name val="Arial Nova"/>
      <family val="2"/>
    </font>
    <font>
      <b/>
      <vertAlign val="superscript"/>
      <sz val="10"/>
      <name val="Arial Nova"/>
      <family val="2"/>
    </font>
    <font>
      <b/>
      <vertAlign val="subscript"/>
      <sz val="11"/>
      <color theme="1"/>
      <name val="Aptos Narrow"/>
      <family val="2"/>
      <scheme val="minor"/>
    </font>
    <font>
      <sz val="8"/>
      <color rgb="FF333333"/>
      <name val="Verdana"/>
      <family val="2"/>
    </font>
    <font>
      <vertAlign val="subscript"/>
      <sz val="11"/>
      <color rgb="FF33333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0" fillId="0" borderId="4" xfId="0" applyBorder="1"/>
    <xf numFmtId="0" fontId="7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6" fillId="0" borderId="0" xfId="0" applyFont="1"/>
    <xf numFmtId="2" fontId="8" fillId="0" borderId="4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9" fillId="0" borderId="0" xfId="0" applyFont="1"/>
    <xf numFmtId="0" fontId="18" fillId="0" borderId="4" xfId="0" applyFont="1" applyBorder="1" applyAlignment="1">
      <alignment horizontal="left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1" fontId="18" fillId="0" borderId="4" xfId="0" applyNumberFormat="1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1" fontId="18" fillId="0" borderId="5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1" fontId="25" fillId="0" borderId="8" xfId="0" applyNumberFormat="1" applyFont="1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1" fontId="25" fillId="0" borderId="10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/>
    </xf>
    <xf numFmtId="164" fontId="28" fillId="3" borderId="4" xfId="0" applyNumberFormat="1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/>
    <xf numFmtId="0" fontId="29" fillId="0" borderId="0" xfId="0" applyFont="1"/>
    <xf numFmtId="164" fontId="18" fillId="3" borderId="4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35" fillId="0" borderId="0" xfId="0" applyFont="1"/>
    <xf numFmtId="0" fontId="8" fillId="0" borderId="0" xfId="0" applyFont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7" fillId="0" borderId="6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3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5927B9-E3FD-4D40-9F31-C61E86E6450C}" name="Table135" displayName="Table135" ref="B2:F31" totalsRowShown="0" headerRowDxfId="122" dataDxfId="121">
  <autoFilter ref="B2:F31" xr:uid="{FE95BC9B-D72B-47D7-A5C2-35E9563603C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0B971F5-DCBE-4F41-B456-B59038A59AFE}" name="Parameter" dataDxfId="120"/>
    <tableColumn id="2" xr3:uid="{52ADE216-1EC9-436D-9D6A-F9320845B6D5}" name="Lower" dataDxfId="119"/>
    <tableColumn id="3" xr3:uid="{AC733CDC-5519-4490-AB89-264AC6674E2E}" name="Higher" dataDxfId="118"/>
    <tableColumn id="5" xr3:uid="{0C1E432A-2076-4D2E-87EE-895E7D45B8BF}" name="Unit" dataDxfId="117"/>
    <tableColumn id="4" xr3:uid="{C0ADD5F6-9C93-4774-8F37-F179D1C0BB35}" name="Note" dataDxfId="11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BD4094-8485-4458-B00E-8F453A584C03}" name="Table36" displayName="Table36" ref="H2:J6" totalsRowShown="0" headerRowDxfId="115" dataDxfId="114">
  <autoFilter ref="H2:J6" xr:uid="{9BED6734-BAEF-4FCB-A491-7C9189859F79}">
    <filterColumn colId="0" hiddenButton="1"/>
    <filterColumn colId="1" hiddenButton="1"/>
    <filterColumn colId="2" hiddenButton="1"/>
  </autoFilter>
  <tableColumns count="3">
    <tableColumn id="1" xr3:uid="{22AF5BF3-F8DC-4AD8-9F67-A9C1685F181E}" name="Entered Parameter" dataDxfId="113"/>
    <tableColumn id="2" xr3:uid="{658007AB-91E5-4EC6-B776-F0B5B8B9A0F7}" name="Unit" dataDxfId="112"/>
    <tableColumn id="3" xr3:uid="{ACFD7F8F-D9DE-4A43-BAFB-B8312C3897B8}" name="Allowable Range" dataDxfId="1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B8C177-ACB3-40CF-8581-9351BD70C6FD}" name="Table6" displayName="Table6" ref="L2:M19" totalsRowShown="0">
  <autoFilter ref="L2:M19" xr:uid="{61B8C177-ACB3-40CF-8581-9351BD70C6FD}">
    <filterColumn colId="0" hiddenButton="1"/>
    <filterColumn colId="1" hiddenButton="1"/>
  </autoFilter>
  <tableColumns count="2">
    <tableColumn id="1" xr3:uid="{60190B27-2564-47A2-AC8A-90963B7CDEAA}" name="Exception Symbol"/>
    <tableColumn id="2" xr3:uid="{AFDBAE58-C6F8-462D-ACB7-CC03B25914F0}" name="Description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C45809-1ECC-458D-B6D0-AF2BC1D4EA03}" name="Table13" displayName="Table13" ref="B2:F31" totalsRowShown="0" headerRowDxfId="110" dataDxfId="109">
  <autoFilter ref="B2:F31" xr:uid="{FE95BC9B-D72B-47D7-A5C2-35E9563603C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50DF189-C8F0-43F6-B974-7F2D0E8CF0CE}" name="Parameter" dataDxfId="108"/>
    <tableColumn id="2" xr3:uid="{DE49E579-8575-445B-9E72-D344602314F4}" name="Lower" dataDxfId="107"/>
    <tableColumn id="3" xr3:uid="{F42E0262-AF4A-4C76-815D-F7EF8211E377}" name="Higher" dataDxfId="106"/>
    <tableColumn id="5" xr3:uid="{D9FFD261-0C7A-464C-8057-CAD5E06D9B1A}" name="Unit" dataDxfId="105"/>
    <tableColumn id="4" xr3:uid="{375FE1B5-DF1C-4B30-9DC9-7E469437E0DC}" name="Note" dataDxfId="10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ED6734-BAEF-4FCB-A491-7C9189859F79}" name="Table3" displayName="Table3" ref="H2:J6" totalsRowShown="0" headerRowDxfId="103" dataDxfId="102">
  <autoFilter ref="H2:J6" xr:uid="{9BED6734-BAEF-4FCB-A491-7C9189859F79}">
    <filterColumn colId="0" hiddenButton="1"/>
    <filterColumn colId="1" hiddenButton="1"/>
    <filterColumn colId="2" hiddenButton="1"/>
  </autoFilter>
  <tableColumns count="3">
    <tableColumn id="1" xr3:uid="{22FA9C6A-1C79-4B16-AE9E-EFFB0862346D}" name="Entered Parameter" dataDxfId="101"/>
    <tableColumn id="2" xr3:uid="{E75C86A3-5D4B-4EAF-AEBD-45935C515C22}" name="Unit" dataDxfId="100"/>
    <tableColumn id="3" xr3:uid="{3F030C24-BF22-407C-8DFB-F7110B39ABA2}" name="Allowable Range" dataDxfId="9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AD0810-1950-48F2-9007-EFAE33BE0CB0}" name="Table8" displayName="Table8" ref="C5:AN7" totalsRowShown="0" headerRowDxfId="98" dataDxfId="97">
  <autoFilter ref="C5:AN7" xr:uid="{64AD0810-1950-48F2-9007-EFAE33BE0C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ACCEEE19-D1C2-47FA-A793-8B9D9818A6F3}" name="No" dataDxfId="96">
      <calculatedColumnFormula>ROW()-5</calculatedColumnFormula>
    </tableColumn>
    <tableColumn id="38" xr3:uid="{8C372FA5-94D6-49D4-AEE1-54CE0421340F}" name="Nama RS / RSUD / RSUP" dataDxfId="95"/>
    <tableColumn id="37" xr3:uid="{D354F5F5-15A8-4BD1-9EBE-6D2584326E1D}" name="Operator" dataDxfId="94"/>
    <tableColumn id="36" xr3:uid="{D8A91CFA-19FB-4682-AD90-3B3153659FD5}" name="pH" dataDxfId="93"/>
    <tableColumn id="2" xr3:uid="{3A849EC5-A0F1-4CE1-B800-D11AE2B6C7C9}" name="pCO2" dataDxfId="92"/>
    <tableColumn id="3" xr3:uid="{CFEBD6F3-C422-48D6-B259-AEC2F41D8A0E}" name="pO2" dataDxfId="91"/>
    <tableColumn id="33" xr3:uid="{C64FB492-AC38-4422-AA0C-0EE8BE754E9C}" name="Hct" dataDxfId="90"/>
    <tableColumn id="4" xr3:uid="{54930E6F-5BD7-4BE3-9397-A2DE39B52F62}" name="pH (T)" dataDxfId="89">
      <calculatedColumnFormula>Table8[[#This Row],[pH]]+(Table8[[#This Row],[Temp]]-37)*(0.0147+0.0065*(7.4-Table8[[#This Row],[pH]]))</calculatedColumnFormula>
    </tableColumn>
    <tableColumn id="5" xr3:uid="{8549A440-0FF5-4D2E-BB19-7AFFA0E9397B}" name="pCO2 (T)" dataDxfId="88">
      <calculatedColumnFormula>Table8[[#This Row],[pCO2]]*10^(0.019*(Table8[[#This Row],[Temp]]-37))</calculatedColumnFormula>
    </tableColumn>
    <tableColumn id="6" xr3:uid="{057EE5A0-FC54-4455-B4CD-226ACB97EDC2}" name="pO2 (T)" dataDxfId="87">
      <calculatedColumnFormula>Table8[[#This Row],[pO2]]*10^(1*(Table8[[#This Row],[Temp]]-37))</calculatedColumnFormula>
    </tableColumn>
    <tableColumn id="7" xr3:uid="{A98CD885-7659-4F64-A92F-6555E72241FA}" name="tHb" dataDxfId="86"/>
    <tableColumn id="8" xr3:uid="{32BEC8B5-DF88-43CC-9C80-0BB13E2F8AEF}" name="O2Hb" dataDxfId="85"/>
    <tableColumn id="9" xr3:uid="{0C450EB2-D226-4380-B665-D0B6479244CF}" name="COHb" dataDxfId="84"/>
    <tableColumn id="10" xr3:uid="{B0490668-783A-4D94-BAF7-15901457D386}" name="MetHb" dataDxfId="83"/>
    <tableColumn id="11" xr3:uid="{5362B474-E758-4838-A98C-3E82CE12760A}" name="HHb" dataDxfId="82"/>
    <tableColumn id="12" xr3:uid="{811A265A-681F-4099-BCE5-38DFD6CD5C34}" name="sO2" dataDxfId="81"/>
    <tableColumn id="13" xr3:uid="{4A69D3E9-B5A1-49F7-B450-BC156DB95CC4}" name="TCO2" dataDxfId="80">
      <calculatedColumnFormula>Table8[[#This Row],[HCO3-(c)]]+0.0307*Table8[[#This Row],[pCO2]]</calculatedColumnFormula>
    </tableColumn>
    <tableColumn id="14" xr3:uid="{36C03497-55F2-4298-822A-A1BB6CCAB5F3}" name="Beecf" dataDxfId="79"/>
    <tableColumn id="15" xr3:uid="{52A6FC61-A719-4550-A00A-DDC9CEC190E4}" name="BE(B)" dataDxfId="78">
      <calculatedColumnFormula>(1-0.0143*Table8[[#This Row],[tHb]])*(0.034*Table8[[#This Row],[pCO2]]*10^(Table8[[#This Row],[pH]]-6.1)-24.26)+((9.5+1.63*Table8[[#This Row],[tHb]])*(Table8[[#This Row],[pH]]-7.4))-0.2*Table8[[#This Row],[tHb]]*(100-Table8[[#This Row],[sO2]])/100</calculatedColumnFormula>
    </tableColumn>
    <tableColumn id="34" xr3:uid="{27996866-158F-4AD6-B1B2-77649818A32A}" name="Ca++ (7.4)" dataDxfId="77"/>
    <tableColumn id="35" xr3:uid="{73BD9214-08D1-4ED2-93AA-2E701DA6ADBE}" name="AG" dataDxfId="76"/>
    <tableColumn id="16" xr3:uid="{F1E620E1-8A17-47C7-91E0-A13E54A317DC}" name="P/F Ratio" dataDxfId="75"/>
    <tableColumn id="17" xr3:uid="{7049D823-E842-4D36-90BE-35BE9095546E}" name="pAO2" dataDxfId="74"/>
    <tableColumn id="18" xr3:uid="{8E14BA1F-EF9E-4F2B-B35B-C525E68E91B7}" name="CaO2" dataDxfId="73"/>
    <tableColumn id="19" xr3:uid="{055380B6-0E28-4E3E-8CE9-21E7EFA08D2D}" name="O2cap" dataDxfId="72"/>
    <tableColumn id="20" xr3:uid="{569C7884-9637-47ED-89F6-984A1363309D}" name="O2ct" dataDxfId="71"/>
    <tableColumn id="21" xr3:uid="{25972FB3-BA7A-4319-98B2-E5DC87E45C98}" name="sO2(c)" dataDxfId="70"/>
    <tableColumn id="22" xr3:uid="{8757EA09-9612-4D76-8260-8FD56EFB7C24}" name="HCO3-(c)" dataDxfId="69">
      <calculatedColumnFormula>25+0.78*Table8[[#This Row],[BE(B)]]+0.002*Table8[[#This Row],[BP]]*(Table8[[#This Row],[O2Hb]]-100)</calculatedColumnFormula>
    </tableColumn>
    <tableColumn id="23" xr3:uid="{0F4D7966-D29B-4C6A-AE67-951218C65284}" name="HCO3-std" dataDxfId="68"/>
    <tableColumn id="24" xr3:uid="{374C9000-0D27-4481-8257-16EA04F435E4}" name="A-aDO2" dataDxfId="67"/>
    <tableColumn id="25" xr3:uid="{E7D7F769-7E4C-445F-AE1D-EAFB6818E100}" name="paO2/pAO2" dataDxfId="66"/>
    <tableColumn id="26" xr3:uid="{FF422392-2904-4D3D-8598-AF75250777A7}" name="RI" dataDxfId="65"/>
    <tableColumn id="27" xr3:uid="{C53303B1-73A9-4BCA-BBC8-9065D8FB3113}" name="CcO2" dataDxfId="64"/>
    <tableColumn id="28" xr3:uid="{1697B689-740B-4E7C-BF9E-8AA8431310B6}" name="Qsp/Qt(est)" dataDxfId="63"/>
    <tableColumn id="29" xr3:uid="{DEE2F30D-3705-4B91-BC24-C9B326B528DF}" name="OI" dataDxfId="62"/>
    <tableColumn id="30" xr3:uid="{710B0C37-50BB-4689-A964-37F3FDAA4E6A}" name="Temp" dataDxfId="61"/>
    <tableColumn id="31" xr3:uid="{2695C069-3748-48BC-8171-3D294AD3DFB8}" name="FiO2" dataDxfId="60"/>
    <tableColumn id="32" xr3:uid="{7A1B396A-C1DE-485E-9A59-5EC177A42291}" name="BP" dataDxfId="59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C5CCC54-3743-42F9-A282-2A2D0D65DE7C}" name="Table810" displayName="Table810" ref="C5:AP7" totalsRowShown="0" headerRowDxfId="58" dataDxfId="57">
  <autoFilter ref="C5:AP7" xr:uid="{64AD0810-1950-48F2-9007-EFAE33BE0C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3137F90F-7AF0-45D5-BAE1-EE1506E54913}" name="No" dataDxfId="56">
      <calculatedColumnFormula>ROW()-5</calculatedColumnFormula>
    </tableColumn>
    <tableColumn id="38" xr3:uid="{C84A2C40-ABB5-4CC9-9C40-FDF6BBC2F91F}" name="Nama RS / RSUD / RSUP" dataDxfId="55"/>
    <tableColumn id="37" xr3:uid="{E147FEB0-A04B-4501-97ED-0D4BE64036F9}" name="Operator" dataDxfId="54"/>
    <tableColumn id="36" xr3:uid="{85E02675-D420-4D96-BC56-5E18786608F2}" name="pH" dataDxfId="53"/>
    <tableColumn id="2" xr3:uid="{A042E9DF-D564-4BC8-93D3-21F02F69C657}" name="pCO2" dataDxfId="52"/>
    <tableColumn id="3" xr3:uid="{11F02A34-3B26-4F54-BC52-08CA6C678FAA}" name="pO2" dataDxfId="51"/>
    <tableColumn id="33" xr3:uid="{72C9152A-7867-43A8-8483-5370F027E622}" name="Hct" dataDxfId="50"/>
    <tableColumn id="4" xr3:uid="{A8DB623B-28CE-41CE-9A29-044F6BF14BC6}" name="pH (T)" dataDxfId="49"/>
    <tableColumn id="5" xr3:uid="{197BD4CD-E0D7-4DB9-9C5A-9DC6BD19022A}" name="pCO2 (T)" dataDxfId="48"/>
    <tableColumn id="6" xr3:uid="{2632CC0A-FE59-4BB8-8B5B-0430298527AC}" name="pO2 (T)" dataDxfId="47"/>
    <tableColumn id="7" xr3:uid="{759B1A8B-D0D2-4EFA-8C1C-A55C4B630D2A}" name="tHb" dataDxfId="46"/>
    <tableColumn id="8" xr3:uid="{2B666C1B-B3ED-49E6-AD96-15623E3CC4DC}" name="O2Hb" dataDxfId="45"/>
    <tableColumn id="9" xr3:uid="{F3426F93-21C6-4579-B9C1-9092A20799DD}" name="COHb" dataDxfId="44"/>
    <tableColumn id="10" xr3:uid="{711164CA-BE10-41B7-8D2D-9ED50874E000}" name="MetHb" dataDxfId="43"/>
    <tableColumn id="11" xr3:uid="{03B3FAE5-F2F2-4A7F-8677-99337476432C}" name="HHb" dataDxfId="42"/>
    <tableColumn id="12" xr3:uid="{FDF74C56-C934-432A-87F6-6C32047BEE77}" name="sO2" dataDxfId="41"/>
    <tableColumn id="13" xr3:uid="{56559DCF-EA02-4216-90A5-6FEDBE2B398C}" name="TCO2" dataDxfId="40"/>
    <tableColumn id="14" xr3:uid="{C0DFB5DC-5374-477B-BC54-D898B32505E1}" name="Beecf" dataDxfId="39"/>
    <tableColumn id="15" xr3:uid="{122A640D-74BB-420C-9841-0583EBAC11BB}" name="BE(B)" dataDxfId="38"/>
    <tableColumn id="34" xr3:uid="{91A863E8-27D7-4C42-9BAE-C0DA1940C8F8}" name="Ca++ (7.4)" dataDxfId="37"/>
    <tableColumn id="35" xr3:uid="{419C8D69-CDB3-4882-937B-88DEC982DEB3}" name="AG" dataDxfId="36"/>
    <tableColumn id="16" xr3:uid="{B7C230CA-176E-4CCE-934B-B40EC74AAB06}" name="P/F Ratio" dataDxfId="35"/>
    <tableColumn id="17" xr3:uid="{0AFDA5E6-D6BC-428D-916E-D96FAFE0B804}" name="pAO2" dataDxfId="34"/>
    <tableColumn id="18" xr3:uid="{54AD4C24-DE5F-4794-851C-B97E2579C3AE}" name="CaO2" dataDxfId="33"/>
    <tableColumn id="19" xr3:uid="{7D053214-29D8-4134-8968-F568C8ED2E01}" name="O2cap" dataDxfId="32"/>
    <tableColumn id="20" xr3:uid="{5DE249EE-C33E-4A3C-97CE-C14ADDE3A6EC}" name="O2ct" dataDxfId="31"/>
    <tableColumn id="21" xr3:uid="{871EF0EF-66D5-4C4A-8B49-BE534B280096}" name="sO2(c)" dataDxfId="30"/>
    <tableColumn id="22" xr3:uid="{3C7EB4E5-F660-4B00-98AA-0BF5F8C08C9C}" name="HCO3-(c)" dataDxfId="29"/>
    <tableColumn id="23" xr3:uid="{56EABFF2-E51D-4005-B80B-6B6865AD1730}" name="HCO3-std" dataDxfId="28"/>
    <tableColumn id="24" xr3:uid="{E362C67C-C18E-4325-8CC5-537B67FB873D}" name="A-aDO2" dataDxfId="27"/>
    <tableColumn id="25" xr3:uid="{651C46B4-28DB-4480-8936-FDB2654E201D}" name="paO2/pAO2" dataDxfId="26"/>
    <tableColumn id="26" xr3:uid="{3994DFAE-CD08-4152-B5F7-EE8F9424B1A9}" name="RI" dataDxfId="25"/>
    <tableColumn id="27" xr3:uid="{24DE4F56-53F0-4BB2-8C99-E5187A649D1E}" name="CcO2" dataDxfId="24"/>
    <tableColumn id="28" xr3:uid="{9E581A27-7067-425D-847A-F35BEC1CD05B}" name="Qsp/Qt(est)" dataDxfId="23"/>
    <tableColumn id="29" xr3:uid="{C29C1CAF-80A4-4728-A9DD-13BB3B060F5A}" name="OI" dataDxfId="22"/>
    <tableColumn id="30" xr3:uid="{8D2F4BF5-AC96-4A62-B8CB-FF735228DD58}" name="Temp" dataDxfId="21"/>
    <tableColumn id="40" xr3:uid="{ABAD03A5-3984-4F1E-971B-5902A169D998}" name="C"/>
    <tableColumn id="39" xr3:uid="{814FF660-1516-457D-B4B5-1DE7E85DD60E}" name="K"/>
    <tableColumn id="31" xr3:uid="{56D6CD24-FCAB-4F6E-9725-F7BBC05DC927}" name="FiO2" dataDxfId="20"/>
    <tableColumn id="32" xr3:uid="{40009691-3B03-40E6-AB79-B3B41C44A949}" name="BP" dataDxfId="19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71FAE-24F8-4CD6-9D18-E006D47D2E8C}" name="Table1" displayName="Table1" ref="Q2:AE4" totalsRowShown="0" headerRowDxfId="18" dataDxfId="16" headerRowBorderDxfId="17" tableBorderDxfId="15">
  <autoFilter ref="Q2:AE4" xr:uid="{7BC71FAE-24F8-4CD6-9D18-E006D47D2E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67C834B-C5FB-4B53-B03B-3EE1CB0BDDAD}" name="No" dataDxfId="14"/>
    <tableColumn id="2" xr3:uid="{7B0C321B-0003-4746-937E-67CDEA790092}" name="Nama RS / RSUD / RSUP" dataDxfId="13"/>
    <tableColumn id="3" xr3:uid="{A20FE9F2-BB57-463C-BA32-135C08A7F724}" name="pH" dataDxfId="12"/>
    <tableColumn id="4" xr3:uid="{2FD54E83-D934-4076-AD3E-6285E947EC22}" name="pCO2" dataDxfId="11"/>
    <tableColumn id="5" xr3:uid="{FF46AD1C-B1A3-4667-AB27-03DDAA431BD3}" name="pO2" dataDxfId="10"/>
    <tableColumn id="6" xr3:uid="{649952EF-E626-46E4-9338-9A01709CE651}" name="Hct" dataDxfId="9"/>
    <tableColumn id="7" xr3:uid="{DC691596-8F87-4B1C-ADE7-3138F762E197}" name="tHb" dataDxfId="8"/>
    <tableColumn id="8" xr3:uid="{D20DD306-751D-4FC3-9A09-5C462AE47368}" name="O2Hb" dataDxfId="7"/>
    <tableColumn id="9" xr3:uid="{B3BD1489-8000-4D83-BC63-B2FC8C5B7806}" name="COHb" dataDxfId="6"/>
    <tableColumn id="10" xr3:uid="{36EC642E-C1EA-4A48-954D-298CFBBAB653}" name="MetHb" dataDxfId="5"/>
    <tableColumn id="11" xr3:uid="{C712574C-0D20-427B-8301-DB0DEDDD83D9}" name="HHb" dataDxfId="4"/>
    <tableColumn id="12" xr3:uid="{36028343-D755-4B52-ADE2-9DFC824982D6}" name="sO2" dataDxfId="3"/>
    <tableColumn id="13" xr3:uid="{906802BA-33B8-4C7F-AA3E-68C34EB70CE0}" name="Temp" dataDxfId="2"/>
    <tableColumn id="14" xr3:uid="{ADFE4F2C-E107-4941-B3F6-AF115B28F268}" name="FiO2" dataDxfId="1"/>
    <tableColumn id="15" xr3:uid="{BB6DC786-71A5-402B-8EE7-EC258E22CB3C}" name="B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36D9-6157-4867-B426-7056AB27DF48}">
  <dimension ref="B2:M31"/>
  <sheetViews>
    <sheetView workbookViewId="0">
      <selection activeCell="D22" sqref="D22"/>
    </sheetView>
  </sheetViews>
  <sheetFormatPr defaultRowHeight="15" x14ac:dyDescent="0.25"/>
  <cols>
    <col min="1" max="1" width="3" customWidth="1"/>
    <col min="2" max="2" width="19.85546875" bestFit="1" customWidth="1"/>
    <col min="6" max="6" width="28.28515625" bestFit="1" customWidth="1"/>
    <col min="7" max="7" width="3" customWidth="1"/>
    <col min="8" max="8" width="29" bestFit="1" customWidth="1"/>
    <col min="10" max="10" width="20.28515625" bestFit="1" customWidth="1"/>
    <col min="11" max="11" width="3" customWidth="1"/>
    <col min="12" max="12" width="18.42578125" customWidth="1"/>
    <col min="13" max="13" width="47" bestFit="1" customWidth="1"/>
  </cols>
  <sheetData>
    <row r="2" spans="2:13" x14ac:dyDescent="0.25">
      <c r="B2" s="1" t="s">
        <v>0</v>
      </c>
      <c r="C2" s="1" t="s">
        <v>34</v>
      </c>
      <c r="D2" s="1" t="s">
        <v>35</v>
      </c>
      <c r="E2" s="1" t="s">
        <v>9</v>
      </c>
      <c r="F2" s="1" t="s">
        <v>33</v>
      </c>
      <c r="H2" s="1" t="s">
        <v>36</v>
      </c>
      <c r="I2" s="1" t="s">
        <v>9</v>
      </c>
      <c r="J2" s="1" t="s">
        <v>39</v>
      </c>
      <c r="L2" t="s">
        <v>66</v>
      </c>
      <c r="M2" t="s">
        <v>67</v>
      </c>
    </row>
    <row r="3" spans="2:13" ht="16.5" x14ac:dyDescent="0.25">
      <c r="B3" s="1" t="s">
        <v>1</v>
      </c>
      <c r="C3" s="1">
        <v>7.35</v>
      </c>
      <c r="D3" s="1">
        <v>7.45</v>
      </c>
      <c r="E3" s="1"/>
      <c r="F3" s="1"/>
      <c r="H3" s="1" t="s">
        <v>37</v>
      </c>
      <c r="I3" s="1" t="s">
        <v>43</v>
      </c>
      <c r="J3" s="1" t="s">
        <v>41</v>
      </c>
      <c r="M3" t="s">
        <v>71</v>
      </c>
    </row>
    <row r="4" spans="2:13" x14ac:dyDescent="0.25">
      <c r="B4" s="1" t="s">
        <v>3</v>
      </c>
      <c r="C4" s="1">
        <v>7.32</v>
      </c>
      <c r="D4" s="1">
        <v>7.43</v>
      </c>
      <c r="E4" s="1"/>
      <c r="F4" s="1"/>
      <c r="H4" s="1" t="s">
        <v>38</v>
      </c>
      <c r="I4" s="1" t="s">
        <v>10</v>
      </c>
      <c r="J4" s="1" t="s">
        <v>40</v>
      </c>
      <c r="M4" t="s">
        <v>70</v>
      </c>
    </row>
    <row r="5" spans="2:13" ht="18" x14ac:dyDescent="0.25">
      <c r="B5" s="1" t="s">
        <v>44</v>
      </c>
      <c r="C5" s="1">
        <v>35</v>
      </c>
      <c r="D5" s="1">
        <v>48</v>
      </c>
      <c r="E5" s="1" t="s">
        <v>10</v>
      </c>
      <c r="F5" s="1"/>
      <c r="H5" s="1" t="s">
        <v>61</v>
      </c>
      <c r="I5" s="1" t="s">
        <v>12</v>
      </c>
      <c r="J5" s="1" t="s">
        <v>62</v>
      </c>
      <c r="M5" t="s">
        <v>68</v>
      </c>
    </row>
    <row r="6" spans="2:13" ht="18" x14ac:dyDescent="0.25">
      <c r="B6" s="1" t="s">
        <v>45</v>
      </c>
      <c r="C6" s="1">
        <v>32</v>
      </c>
      <c r="D6" s="1">
        <v>45</v>
      </c>
      <c r="E6" s="1" t="s">
        <v>10</v>
      </c>
      <c r="F6" s="1"/>
      <c r="H6" s="1" t="s">
        <v>63</v>
      </c>
      <c r="I6" s="1" t="s">
        <v>65</v>
      </c>
      <c r="J6" s="1" t="s">
        <v>64</v>
      </c>
      <c r="M6" t="s">
        <v>69</v>
      </c>
    </row>
    <row r="7" spans="2:13" ht="18" x14ac:dyDescent="0.25">
      <c r="B7" s="1" t="s">
        <v>46</v>
      </c>
      <c r="C7" s="1">
        <v>26</v>
      </c>
      <c r="D7" s="1">
        <v>52</v>
      </c>
      <c r="E7" s="1" t="s">
        <v>10</v>
      </c>
      <c r="F7" s="2" t="s">
        <v>59</v>
      </c>
      <c r="M7" t="s">
        <v>72</v>
      </c>
    </row>
    <row r="8" spans="2:13" ht="18" x14ac:dyDescent="0.25">
      <c r="B8" s="1" t="s">
        <v>47</v>
      </c>
      <c r="C8" s="1">
        <v>83</v>
      </c>
      <c r="D8" s="1">
        <v>108</v>
      </c>
      <c r="E8" s="1" t="s">
        <v>10</v>
      </c>
      <c r="F8" s="1"/>
      <c r="M8" t="s">
        <v>73</v>
      </c>
    </row>
    <row r="9" spans="2:13" ht="16.5" x14ac:dyDescent="0.25">
      <c r="B9" s="1" t="s">
        <v>48</v>
      </c>
      <c r="C9" s="1">
        <v>136</v>
      </c>
      <c r="D9" s="1">
        <v>145</v>
      </c>
      <c r="E9" s="1" t="s">
        <v>11</v>
      </c>
      <c r="F9" s="1"/>
      <c r="M9" t="s">
        <v>74</v>
      </c>
    </row>
    <row r="10" spans="2:13" ht="16.5" x14ac:dyDescent="0.25">
      <c r="B10" s="1" t="s">
        <v>49</v>
      </c>
      <c r="C10" s="1">
        <v>3.5</v>
      </c>
      <c r="D10" s="1">
        <v>5.0999999999999996</v>
      </c>
      <c r="E10" s="1" t="s">
        <v>11</v>
      </c>
      <c r="F10" s="1"/>
      <c r="M10" t="s">
        <v>75</v>
      </c>
    </row>
    <row r="11" spans="2:13" ht="16.5" x14ac:dyDescent="0.25">
      <c r="B11" s="1" t="s">
        <v>50</v>
      </c>
      <c r="C11" s="1">
        <v>98</v>
      </c>
      <c r="D11" s="1">
        <v>107</v>
      </c>
      <c r="E11" s="1" t="s">
        <v>11</v>
      </c>
      <c r="F11" s="1"/>
      <c r="M11" t="s">
        <v>76</v>
      </c>
    </row>
    <row r="12" spans="2:13" ht="16.5" x14ac:dyDescent="0.25">
      <c r="B12" s="1" t="s">
        <v>51</v>
      </c>
      <c r="C12" s="1">
        <v>1.1499999999999999</v>
      </c>
      <c r="D12" s="1">
        <v>1.33</v>
      </c>
      <c r="E12" s="1" t="s">
        <v>11</v>
      </c>
      <c r="F12" s="1"/>
      <c r="M12" t="s">
        <v>77</v>
      </c>
    </row>
    <row r="13" spans="2:13" x14ac:dyDescent="0.25">
      <c r="B13" s="1" t="s">
        <v>7</v>
      </c>
      <c r="C13" s="1">
        <v>40</v>
      </c>
      <c r="D13" s="1">
        <v>50</v>
      </c>
      <c r="E13" s="1" t="s">
        <v>12</v>
      </c>
      <c r="F13" s="1"/>
      <c r="M13" t="s">
        <v>78</v>
      </c>
    </row>
    <row r="14" spans="2:13" x14ac:dyDescent="0.25">
      <c r="B14" s="1" t="s">
        <v>8</v>
      </c>
      <c r="C14" s="1">
        <v>37</v>
      </c>
      <c r="D14" s="1">
        <v>47</v>
      </c>
      <c r="E14" s="1" t="s">
        <v>12</v>
      </c>
      <c r="F14" s="1"/>
      <c r="M14" t="s">
        <v>79</v>
      </c>
    </row>
    <row r="15" spans="2:13" x14ac:dyDescent="0.25">
      <c r="B15" s="1" t="s">
        <v>14</v>
      </c>
      <c r="C15" s="1">
        <v>65</v>
      </c>
      <c r="D15" s="1">
        <v>95</v>
      </c>
      <c r="E15" s="1" t="s">
        <v>15</v>
      </c>
      <c r="F15" s="1"/>
      <c r="M15" t="s">
        <v>80</v>
      </c>
    </row>
    <row r="16" spans="2:13" x14ac:dyDescent="0.25">
      <c r="B16" s="1" t="s">
        <v>16</v>
      </c>
      <c r="C16" s="1">
        <v>0.36</v>
      </c>
      <c r="D16" s="1">
        <v>0.75</v>
      </c>
      <c r="E16" s="1" t="s">
        <v>11</v>
      </c>
      <c r="F16" s="1"/>
      <c r="M16" t="s">
        <v>81</v>
      </c>
    </row>
    <row r="17" spans="2:13" x14ac:dyDescent="0.25">
      <c r="B17" s="1" t="s">
        <v>17</v>
      </c>
      <c r="C17" s="1">
        <v>0.56000000000000005</v>
      </c>
      <c r="D17" s="1">
        <v>1.39</v>
      </c>
      <c r="E17" s="1" t="s">
        <v>11</v>
      </c>
      <c r="F17" s="1"/>
      <c r="M17" t="s">
        <v>82</v>
      </c>
    </row>
    <row r="18" spans="2:13" x14ac:dyDescent="0.25">
      <c r="B18" s="1" t="s">
        <v>20</v>
      </c>
      <c r="C18" s="1">
        <v>12.6</v>
      </c>
      <c r="D18" s="1">
        <v>17.399999999999999</v>
      </c>
      <c r="E18" s="1" t="s">
        <v>19</v>
      </c>
      <c r="F18" s="1"/>
      <c r="M18" t="s">
        <v>83</v>
      </c>
    </row>
    <row r="19" spans="2:13" x14ac:dyDescent="0.25">
      <c r="B19" s="1" t="s">
        <v>21</v>
      </c>
      <c r="C19" s="1">
        <v>11.7</v>
      </c>
      <c r="D19" s="1">
        <v>16.100000000000001</v>
      </c>
      <c r="E19" s="1" t="s">
        <v>19</v>
      </c>
      <c r="F19" s="1"/>
      <c r="M19" t="s">
        <v>84</v>
      </c>
    </row>
    <row r="20" spans="2:13" ht="18" x14ac:dyDescent="0.25">
      <c r="B20" s="1" t="s">
        <v>52</v>
      </c>
      <c r="C20" s="1">
        <v>90</v>
      </c>
      <c r="D20" s="1">
        <v>95</v>
      </c>
      <c r="E20" s="1" t="s">
        <v>12</v>
      </c>
      <c r="F20" s="1"/>
    </row>
    <row r="21" spans="2:13" x14ac:dyDescent="0.25">
      <c r="B21" s="1" t="s">
        <v>32</v>
      </c>
      <c r="C21" s="1"/>
      <c r="D21" s="1">
        <v>3</v>
      </c>
      <c r="E21" s="1" t="s">
        <v>12</v>
      </c>
      <c r="F21" s="1"/>
    </row>
    <row r="22" spans="2:13" x14ac:dyDescent="0.25">
      <c r="B22" s="1" t="s">
        <v>31</v>
      </c>
      <c r="C22" s="1"/>
      <c r="D22" s="1">
        <v>10</v>
      </c>
      <c r="E22" s="1" t="s">
        <v>12</v>
      </c>
      <c r="F22" s="1"/>
    </row>
    <row r="23" spans="2:13" x14ac:dyDescent="0.25">
      <c r="B23" s="1" t="s">
        <v>24</v>
      </c>
      <c r="C23" s="1"/>
      <c r="D23" s="1">
        <v>1.5</v>
      </c>
      <c r="E23" s="1" t="s">
        <v>12</v>
      </c>
      <c r="F23" s="1"/>
    </row>
    <row r="24" spans="2:13" x14ac:dyDescent="0.25">
      <c r="B24" s="1" t="s">
        <v>25</v>
      </c>
      <c r="C24" s="1">
        <v>1</v>
      </c>
      <c r="D24" s="1">
        <v>5</v>
      </c>
      <c r="E24" s="1" t="s">
        <v>12</v>
      </c>
      <c r="F24" s="1"/>
    </row>
    <row r="25" spans="2:13" ht="18" x14ac:dyDescent="0.25">
      <c r="B25" s="1" t="s">
        <v>53</v>
      </c>
      <c r="C25" s="1">
        <v>94</v>
      </c>
      <c r="D25" s="1">
        <v>98</v>
      </c>
      <c r="E25" s="1" t="s">
        <v>12</v>
      </c>
      <c r="F25" s="1"/>
    </row>
    <row r="26" spans="2:13" ht="18" x14ac:dyDescent="0.25">
      <c r="B26" s="1" t="s">
        <v>54</v>
      </c>
      <c r="C26" s="1">
        <v>19</v>
      </c>
      <c r="D26" s="1">
        <v>24</v>
      </c>
      <c r="E26" s="1" t="s">
        <v>11</v>
      </c>
      <c r="F26" s="1"/>
    </row>
    <row r="27" spans="2:13" ht="18" x14ac:dyDescent="0.25">
      <c r="B27" s="1" t="s">
        <v>55</v>
      </c>
      <c r="C27" s="1">
        <v>22</v>
      </c>
      <c r="D27" s="1">
        <v>26</v>
      </c>
      <c r="E27" s="1" t="s">
        <v>11</v>
      </c>
      <c r="F27" s="1"/>
    </row>
    <row r="28" spans="2:13" x14ac:dyDescent="0.25">
      <c r="B28" s="1" t="s">
        <v>28</v>
      </c>
      <c r="C28" s="1">
        <v>-2</v>
      </c>
      <c r="D28" s="1">
        <v>3</v>
      </c>
      <c r="E28" s="1" t="s">
        <v>11</v>
      </c>
      <c r="F28" s="1"/>
    </row>
    <row r="29" spans="2:13" ht="18" x14ac:dyDescent="0.25">
      <c r="B29" s="1" t="s">
        <v>56</v>
      </c>
      <c r="C29" s="1">
        <v>21</v>
      </c>
      <c r="D29" s="1">
        <v>28</v>
      </c>
      <c r="E29" s="1" t="s">
        <v>11</v>
      </c>
      <c r="F29" s="1"/>
    </row>
    <row r="30" spans="2:13" ht="18" x14ac:dyDescent="0.25">
      <c r="B30" s="1" t="s">
        <v>57</v>
      </c>
      <c r="C30" s="1">
        <v>22</v>
      </c>
      <c r="D30" s="1">
        <v>29</v>
      </c>
      <c r="E30" s="1" t="s">
        <v>11</v>
      </c>
      <c r="F30" s="1"/>
    </row>
    <row r="31" spans="2:13" ht="18" x14ac:dyDescent="0.25">
      <c r="B31" s="1" t="s">
        <v>30</v>
      </c>
      <c r="C31" s="1">
        <v>10</v>
      </c>
      <c r="D31" s="1">
        <v>20</v>
      </c>
      <c r="E31" s="1" t="s">
        <v>11</v>
      </c>
      <c r="F31" s="1" t="s">
        <v>58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ED67-2D96-4002-8266-22883C057D10}">
  <dimension ref="B2:J31"/>
  <sheetViews>
    <sheetView workbookViewId="0">
      <selection activeCell="F16" sqref="F16"/>
    </sheetView>
  </sheetViews>
  <sheetFormatPr defaultRowHeight="15" x14ac:dyDescent="0.25"/>
  <cols>
    <col min="1" max="1" width="3" customWidth="1"/>
    <col min="2" max="2" width="19.85546875" bestFit="1" customWidth="1"/>
    <col min="6" max="6" width="23.42578125" bestFit="1" customWidth="1"/>
    <col min="7" max="7" width="3" customWidth="1"/>
    <col min="8" max="8" width="29" bestFit="1" customWidth="1"/>
    <col min="10" max="10" width="20.28515625" bestFit="1" customWidth="1"/>
    <col min="11" max="11" width="3" customWidth="1"/>
  </cols>
  <sheetData>
    <row r="2" spans="2:10" x14ac:dyDescent="0.25">
      <c r="B2" s="1" t="s">
        <v>0</v>
      </c>
      <c r="C2" s="1" t="s">
        <v>34</v>
      </c>
      <c r="D2" s="1" t="s">
        <v>35</v>
      </c>
      <c r="E2" s="1" t="s">
        <v>9</v>
      </c>
      <c r="F2" s="1" t="s">
        <v>33</v>
      </c>
      <c r="H2" s="1" t="s">
        <v>36</v>
      </c>
      <c r="I2" s="1" t="s">
        <v>9</v>
      </c>
      <c r="J2" s="1" t="s">
        <v>39</v>
      </c>
    </row>
    <row r="3" spans="2:10" ht="16.5" x14ac:dyDescent="0.25">
      <c r="B3" s="1" t="s">
        <v>1</v>
      </c>
      <c r="C3" s="1">
        <v>7.2</v>
      </c>
      <c r="D3" s="1">
        <v>7.6</v>
      </c>
      <c r="E3" s="1"/>
      <c r="F3" s="1"/>
      <c r="H3" s="1" t="s">
        <v>37</v>
      </c>
      <c r="I3" s="1" t="s">
        <v>43</v>
      </c>
      <c r="J3" s="1" t="s">
        <v>41</v>
      </c>
    </row>
    <row r="4" spans="2:10" x14ac:dyDescent="0.25">
      <c r="B4" s="1" t="s">
        <v>3</v>
      </c>
      <c r="C4" s="1"/>
      <c r="D4" s="1"/>
      <c r="E4" s="1"/>
      <c r="F4" s="1"/>
      <c r="H4" s="1" t="s">
        <v>38</v>
      </c>
      <c r="I4" s="1" t="s">
        <v>10</v>
      </c>
      <c r="J4" s="1" t="s">
        <v>40</v>
      </c>
    </row>
    <row r="5" spans="2:10" ht="18" x14ac:dyDescent="0.25">
      <c r="B5" s="1" t="s">
        <v>44</v>
      </c>
      <c r="C5" s="1">
        <v>20</v>
      </c>
      <c r="D5" s="1">
        <v>70</v>
      </c>
      <c r="E5" s="1" t="s">
        <v>10</v>
      </c>
      <c r="F5" s="1"/>
      <c r="H5" s="1" t="s">
        <v>61</v>
      </c>
      <c r="I5" s="1" t="s">
        <v>12</v>
      </c>
      <c r="J5" s="1" t="s">
        <v>62</v>
      </c>
    </row>
    <row r="6" spans="2:10" ht="18" x14ac:dyDescent="0.25">
      <c r="B6" s="1" t="s">
        <v>45</v>
      </c>
      <c r="C6" s="1"/>
      <c r="D6" s="1"/>
      <c r="E6" s="1" t="s">
        <v>10</v>
      </c>
      <c r="F6" s="1"/>
      <c r="H6" s="1" t="s">
        <v>63</v>
      </c>
      <c r="I6" s="1" t="s">
        <v>65</v>
      </c>
      <c r="J6" s="1" t="s">
        <v>64</v>
      </c>
    </row>
    <row r="7" spans="2:10" ht="18" x14ac:dyDescent="0.25">
      <c r="B7" s="1" t="s">
        <v>46</v>
      </c>
      <c r="C7" s="1"/>
      <c r="D7" s="1"/>
      <c r="E7" s="1" t="s">
        <v>10</v>
      </c>
      <c r="F7" s="1" t="s">
        <v>4</v>
      </c>
    </row>
    <row r="8" spans="2:10" ht="18" x14ac:dyDescent="0.25">
      <c r="B8" s="1" t="s">
        <v>47</v>
      </c>
      <c r="C8" s="1">
        <v>40</v>
      </c>
      <c r="D8" s="1"/>
      <c r="E8" s="1" t="s">
        <v>10</v>
      </c>
      <c r="F8" s="1"/>
    </row>
    <row r="9" spans="2:10" ht="16.5" x14ac:dyDescent="0.25">
      <c r="B9" s="1" t="s">
        <v>48</v>
      </c>
      <c r="C9" s="1">
        <v>120</v>
      </c>
      <c r="D9" s="1">
        <v>160</v>
      </c>
      <c r="E9" s="1" t="s">
        <v>11</v>
      </c>
      <c r="F9" s="1"/>
    </row>
    <row r="10" spans="2:10" ht="16.5" x14ac:dyDescent="0.25">
      <c r="B10" s="1" t="s">
        <v>49</v>
      </c>
      <c r="C10" s="1">
        <v>2.8</v>
      </c>
      <c r="D10" s="1">
        <v>7.8</v>
      </c>
      <c r="E10" s="1" t="s">
        <v>11</v>
      </c>
      <c r="F10" s="1"/>
    </row>
    <row r="11" spans="2:10" ht="16.5" x14ac:dyDescent="0.25">
      <c r="B11" s="1" t="s">
        <v>50</v>
      </c>
      <c r="C11" s="1">
        <v>80</v>
      </c>
      <c r="D11" s="1">
        <v>120</v>
      </c>
      <c r="E11" s="1" t="s">
        <v>11</v>
      </c>
      <c r="F11" s="1"/>
    </row>
    <row r="12" spans="2:10" ht="16.5" x14ac:dyDescent="0.25">
      <c r="B12" s="1" t="s">
        <v>51</v>
      </c>
      <c r="C12" s="1">
        <v>0.75</v>
      </c>
      <c r="D12" s="1">
        <v>1.6</v>
      </c>
      <c r="E12" s="1" t="s">
        <v>11</v>
      </c>
      <c r="F12" s="1"/>
    </row>
    <row r="13" spans="2:10" x14ac:dyDescent="0.25">
      <c r="B13" s="1" t="s">
        <v>7</v>
      </c>
      <c r="C13" s="1">
        <v>18</v>
      </c>
      <c r="D13" s="1">
        <v>60</v>
      </c>
      <c r="E13" s="1" t="s">
        <v>12</v>
      </c>
      <c r="F13" s="1"/>
    </row>
    <row r="14" spans="2:10" x14ac:dyDescent="0.25">
      <c r="B14" s="1" t="s">
        <v>8</v>
      </c>
      <c r="C14" s="1"/>
      <c r="D14" s="1"/>
      <c r="E14" s="1" t="s">
        <v>12</v>
      </c>
      <c r="F14" s="1"/>
    </row>
    <row r="15" spans="2:10" x14ac:dyDescent="0.25">
      <c r="B15" s="1" t="s">
        <v>14</v>
      </c>
      <c r="C15" s="1">
        <v>40</v>
      </c>
      <c r="D15" s="1">
        <v>450</v>
      </c>
      <c r="E15" s="1" t="s">
        <v>15</v>
      </c>
      <c r="F15" s="1"/>
    </row>
    <row r="16" spans="2:10" x14ac:dyDescent="0.25">
      <c r="B16" s="1" t="s">
        <v>16</v>
      </c>
      <c r="C16" s="1"/>
      <c r="D16" s="1">
        <v>3.4</v>
      </c>
      <c r="E16" s="1" t="s">
        <v>11</v>
      </c>
      <c r="F16" s="1"/>
    </row>
    <row r="17" spans="2:6" x14ac:dyDescent="0.25">
      <c r="B17" s="1" t="s">
        <v>17</v>
      </c>
      <c r="C17" s="1"/>
      <c r="D17" s="1"/>
      <c r="E17" s="1" t="s">
        <v>11</v>
      </c>
      <c r="F17" s="1"/>
    </row>
    <row r="18" spans="2:6" x14ac:dyDescent="0.25">
      <c r="B18" s="1" t="s">
        <v>20</v>
      </c>
      <c r="C18" s="1">
        <v>7</v>
      </c>
      <c r="D18" s="1">
        <v>20</v>
      </c>
      <c r="E18" s="1" t="s">
        <v>19</v>
      </c>
      <c r="F18" s="1"/>
    </row>
    <row r="19" spans="2:6" x14ac:dyDescent="0.25">
      <c r="B19" s="1" t="s">
        <v>21</v>
      </c>
      <c r="C19" s="1"/>
      <c r="D19" s="1"/>
      <c r="E19" s="1" t="s">
        <v>19</v>
      </c>
      <c r="F19" s="1"/>
    </row>
    <row r="20" spans="2:6" ht="18" x14ac:dyDescent="0.25">
      <c r="B20" s="1" t="s">
        <v>52</v>
      </c>
      <c r="C20" s="1"/>
      <c r="D20" s="1"/>
      <c r="E20" s="1" t="s">
        <v>12</v>
      </c>
      <c r="F20" s="1"/>
    </row>
    <row r="21" spans="2:6" x14ac:dyDescent="0.25">
      <c r="B21" s="1" t="s">
        <v>32</v>
      </c>
      <c r="C21" s="1"/>
      <c r="D21" s="1"/>
      <c r="E21" s="1" t="s">
        <v>12</v>
      </c>
      <c r="F21" s="1"/>
    </row>
    <row r="22" spans="2:6" x14ac:dyDescent="0.25">
      <c r="B22" s="1" t="s">
        <v>31</v>
      </c>
      <c r="C22" s="1"/>
      <c r="D22" s="1"/>
      <c r="E22" s="1" t="s">
        <v>12</v>
      </c>
      <c r="F22" s="1"/>
    </row>
    <row r="23" spans="2:6" x14ac:dyDescent="0.25">
      <c r="B23" s="1" t="s">
        <v>24</v>
      </c>
      <c r="C23" s="1"/>
      <c r="D23" s="1"/>
      <c r="E23" s="1" t="s">
        <v>12</v>
      </c>
      <c r="F23" s="1"/>
    </row>
    <row r="24" spans="2:6" x14ac:dyDescent="0.25">
      <c r="B24" s="1" t="s">
        <v>25</v>
      </c>
      <c r="C24" s="1"/>
      <c r="D24" s="1"/>
      <c r="E24" s="1" t="s">
        <v>12</v>
      </c>
      <c r="F24" s="1"/>
    </row>
    <row r="25" spans="2:6" ht="18" x14ac:dyDescent="0.25">
      <c r="B25" s="1" t="s">
        <v>53</v>
      </c>
      <c r="C25" s="1"/>
      <c r="D25" s="1"/>
      <c r="E25" s="1" t="s">
        <v>12</v>
      </c>
      <c r="F25" s="1"/>
    </row>
    <row r="26" spans="2:6" ht="18" x14ac:dyDescent="0.25">
      <c r="B26" s="1" t="s">
        <v>54</v>
      </c>
      <c r="C26" s="1"/>
      <c r="D26" s="1"/>
      <c r="E26" s="1" t="s">
        <v>11</v>
      </c>
      <c r="F26" s="1"/>
    </row>
    <row r="27" spans="2:6" ht="18" x14ac:dyDescent="0.25">
      <c r="B27" s="1" t="s">
        <v>55</v>
      </c>
      <c r="C27" s="1"/>
      <c r="D27" s="1"/>
      <c r="E27" s="1" t="s">
        <v>11</v>
      </c>
      <c r="F27" s="1"/>
    </row>
    <row r="28" spans="2:6" x14ac:dyDescent="0.25">
      <c r="B28" s="1" t="s">
        <v>28</v>
      </c>
      <c r="C28" s="1"/>
      <c r="D28" s="1"/>
      <c r="E28" s="1" t="s">
        <v>11</v>
      </c>
      <c r="F28" s="1"/>
    </row>
    <row r="29" spans="2:6" ht="18" x14ac:dyDescent="0.25">
      <c r="B29" s="1" t="s">
        <v>56</v>
      </c>
      <c r="C29" s="1">
        <v>10</v>
      </c>
      <c r="D29" s="1">
        <v>40</v>
      </c>
      <c r="E29" s="1" t="s">
        <v>11</v>
      </c>
      <c r="F29" s="1"/>
    </row>
    <row r="30" spans="2:6" ht="18" x14ac:dyDescent="0.25">
      <c r="B30" s="1" t="s">
        <v>57</v>
      </c>
      <c r="C30" s="1"/>
      <c r="D30" s="1"/>
      <c r="E30" s="1" t="s">
        <v>11</v>
      </c>
      <c r="F30" s="1"/>
    </row>
    <row r="31" spans="2:6" ht="18" x14ac:dyDescent="0.25">
      <c r="B31" s="1" t="s">
        <v>30</v>
      </c>
      <c r="C31" s="1"/>
      <c r="D31" s="1"/>
      <c r="E31" s="1" t="s">
        <v>11</v>
      </c>
      <c r="F31" s="1" t="s">
        <v>58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46AD-876E-4AB4-8FCB-716E58C830D2}">
  <dimension ref="A2:AG75"/>
  <sheetViews>
    <sheetView topLeftCell="A86" workbookViewId="0">
      <selection activeCell="C19" sqref="C19:AG19"/>
    </sheetView>
  </sheetViews>
  <sheetFormatPr defaultRowHeight="15" x14ac:dyDescent="0.25"/>
  <cols>
    <col min="1" max="1" width="9.140625" style="1"/>
    <col min="2" max="2" width="26" style="1" bestFit="1" customWidth="1"/>
    <col min="3" max="4" width="9.140625" style="1"/>
    <col min="5" max="5" width="37.42578125" style="1" bestFit="1" customWidth="1"/>
    <col min="6" max="6" width="10.5703125" style="1" bestFit="1" customWidth="1"/>
    <col min="7" max="12" width="9.140625" style="1"/>
    <col min="13" max="13" width="14.28515625" style="1" bestFit="1" customWidth="1"/>
    <col min="14" max="16384" width="9.140625" style="1"/>
  </cols>
  <sheetData>
    <row r="2" spans="1:14" ht="18" x14ac:dyDescent="0.25">
      <c r="B2" s="1" t="s">
        <v>53</v>
      </c>
      <c r="E2" s="1" t="s">
        <v>315</v>
      </c>
      <c r="F2" s="1" t="s">
        <v>12</v>
      </c>
    </row>
    <row r="4" spans="1:14" ht="18" x14ac:dyDescent="0.25">
      <c r="B4" s="1" t="s">
        <v>99</v>
      </c>
      <c r="E4" s="1" t="s">
        <v>319</v>
      </c>
      <c r="F4" s="1" t="s">
        <v>12</v>
      </c>
    </row>
    <row r="6" spans="1:14" ht="18" x14ac:dyDescent="0.25">
      <c r="B6" s="1" t="s">
        <v>317</v>
      </c>
      <c r="E6" s="1" t="s">
        <v>318</v>
      </c>
    </row>
    <row r="8" spans="1:14" ht="18" x14ac:dyDescent="0.25">
      <c r="B8" s="1" t="s">
        <v>106</v>
      </c>
      <c r="E8" s="1" t="s">
        <v>320</v>
      </c>
      <c r="H8" s="1" t="s">
        <v>86</v>
      </c>
    </row>
    <row r="10" spans="1:14" ht="18" x14ac:dyDescent="0.25">
      <c r="B10" s="1" t="s">
        <v>87</v>
      </c>
      <c r="C10" s="1">
        <v>25</v>
      </c>
      <c r="D10" s="1" t="s">
        <v>85</v>
      </c>
      <c r="E10" s="1">
        <v>0.78</v>
      </c>
      <c r="F10" s="1" t="s">
        <v>86</v>
      </c>
      <c r="G10" s="1" t="s">
        <v>88</v>
      </c>
      <c r="H10" s="1" t="s">
        <v>85</v>
      </c>
      <c r="I10" s="1">
        <v>2E-3</v>
      </c>
      <c r="J10" s="1" t="s">
        <v>86</v>
      </c>
      <c r="K10" s="1" t="s">
        <v>89</v>
      </c>
      <c r="L10" s="1" t="s">
        <v>86</v>
      </c>
      <c r="M10" s="1" t="s">
        <v>90</v>
      </c>
      <c r="N10" s="1" t="s">
        <v>11</v>
      </c>
    </row>
    <row r="12" spans="1:14" ht="18" x14ac:dyDescent="0.25">
      <c r="A12" s="1" t="s">
        <v>91</v>
      </c>
      <c r="B12" s="1" t="s">
        <v>87</v>
      </c>
      <c r="C12" s="1">
        <v>25</v>
      </c>
      <c r="D12" s="1" t="s">
        <v>85</v>
      </c>
      <c r="E12" s="1">
        <v>0.78</v>
      </c>
      <c r="F12" s="1" t="s">
        <v>86</v>
      </c>
      <c r="G12" s="1" t="s">
        <v>88</v>
      </c>
      <c r="H12" s="1" t="s">
        <v>85</v>
      </c>
      <c r="I12" s="1">
        <v>2E-3</v>
      </c>
      <c r="J12" s="1" t="s">
        <v>86</v>
      </c>
      <c r="K12" s="1" t="s">
        <v>89</v>
      </c>
      <c r="L12" s="1" t="s">
        <v>86</v>
      </c>
      <c r="M12" s="1" t="s">
        <v>92</v>
      </c>
      <c r="N12" s="1" t="s">
        <v>11</v>
      </c>
    </row>
    <row r="15" spans="1:14" ht="18" x14ac:dyDescent="0.25">
      <c r="A15" s="1" t="s">
        <v>91</v>
      </c>
      <c r="B15" s="1" t="s">
        <v>93</v>
      </c>
      <c r="E15" s="1" t="s">
        <v>95</v>
      </c>
      <c r="F15" s="1" t="s">
        <v>85</v>
      </c>
      <c r="G15" s="1" t="s">
        <v>96</v>
      </c>
      <c r="H15" s="1" t="s">
        <v>97</v>
      </c>
      <c r="I15" s="1" t="s">
        <v>98</v>
      </c>
    </row>
    <row r="16" spans="1:14" x14ac:dyDescent="0.25">
      <c r="C16" s="1">
        <v>10</v>
      </c>
      <c r="D16" s="1" t="s">
        <v>94</v>
      </c>
    </row>
    <row r="17" spans="2:33" x14ac:dyDescent="0.25">
      <c r="B17" s="1" t="s">
        <v>27</v>
      </c>
      <c r="C17" s="1" t="s">
        <v>29</v>
      </c>
      <c r="D17" s="1" t="s">
        <v>85</v>
      </c>
      <c r="E17" s="1">
        <v>3.0700000000000002E-2</v>
      </c>
      <c r="F17" s="1" t="s">
        <v>86</v>
      </c>
      <c r="G17" s="1" t="s">
        <v>2</v>
      </c>
    </row>
    <row r="19" spans="2:33" x14ac:dyDescent="0.25">
      <c r="B19" s="1" t="s">
        <v>109</v>
      </c>
      <c r="C19" s="1" t="s">
        <v>107</v>
      </c>
      <c r="D19" s="1" t="s">
        <v>97</v>
      </c>
      <c r="E19" s="1">
        <v>1.43E-2</v>
      </c>
      <c r="F19" s="1" t="s">
        <v>86</v>
      </c>
      <c r="G19" s="1" t="s">
        <v>108</v>
      </c>
      <c r="H19" s="1" t="s">
        <v>86</v>
      </c>
      <c r="I19" s="1" t="s">
        <v>110</v>
      </c>
      <c r="J19" s="1" t="s">
        <v>86</v>
      </c>
      <c r="K19" s="1" t="s">
        <v>2</v>
      </c>
      <c r="L19" s="1" t="s">
        <v>86</v>
      </c>
      <c r="M19" s="1" t="s">
        <v>111</v>
      </c>
      <c r="N19" s="1" t="s">
        <v>97</v>
      </c>
      <c r="O19" s="1" t="s">
        <v>112</v>
      </c>
      <c r="P19" s="1" t="s">
        <v>85</v>
      </c>
      <c r="Q19" s="1" t="s">
        <v>113</v>
      </c>
      <c r="R19" s="1" t="s">
        <v>85</v>
      </c>
      <c r="S19" s="1">
        <v>1.63</v>
      </c>
      <c r="T19" s="1" t="s">
        <v>86</v>
      </c>
      <c r="U19" s="1" t="s">
        <v>108</v>
      </c>
      <c r="V19" s="1" t="s">
        <v>86</v>
      </c>
      <c r="W19" s="1" t="s">
        <v>114</v>
      </c>
      <c r="X19" s="1" t="s">
        <v>97</v>
      </c>
      <c r="Y19" s="1">
        <v>0.2</v>
      </c>
      <c r="Z19" s="1" t="s">
        <v>86</v>
      </c>
      <c r="AA19" s="1" t="s">
        <v>18</v>
      </c>
      <c r="AB19" s="1" t="s">
        <v>86</v>
      </c>
      <c r="AC19" s="1" t="s">
        <v>115</v>
      </c>
      <c r="AD19" s="1" t="s">
        <v>97</v>
      </c>
      <c r="AE19" s="1" t="s">
        <v>116</v>
      </c>
      <c r="AF19" s="1" t="s">
        <v>100</v>
      </c>
      <c r="AG19" s="1">
        <v>100</v>
      </c>
    </row>
    <row r="20" spans="2:33" x14ac:dyDescent="0.25">
      <c r="B20" s="1" t="s">
        <v>117</v>
      </c>
      <c r="C20" s="1">
        <v>100</v>
      </c>
      <c r="D20" s="1" t="s">
        <v>100</v>
      </c>
      <c r="E20" s="1" t="s">
        <v>118</v>
      </c>
      <c r="F20" s="1" t="s">
        <v>85</v>
      </c>
      <c r="G20" s="1" t="s">
        <v>101</v>
      </c>
      <c r="H20" s="1" t="s">
        <v>100</v>
      </c>
      <c r="I20" s="1" t="s">
        <v>119</v>
      </c>
      <c r="J20" s="1" t="s">
        <v>85</v>
      </c>
      <c r="K20" s="1">
        <v>150</v>
      </c>
      <c r="L20" s="1" t="s">
        <v>86</v>
      </c>
      <c r="M20" s="1" t="s">
        <v>120</v>
      </c>
    </row>
    <row r="21" spans="2:33" x14ac:dyDescent="0.25">
      <c r="B21" s="1" t="s">
        <v>102</v>
      </c>
      <c r="C21" s="1" t="s">
        <v>5</v>
      </c>
      <c r="D21" s="1" t="s">
        <v>86</v>
      </c>
      <c r="E21" s="1" t="s">
        <v>103</v>
      </c>
    </row>
    <row r="22" spans="2:33" x14ac:dyDescent="0.25">
      <c r="B22" s="1" t="s">
        <v>105</v>
      </c>
      <c r="C22" s="1" t="s">
        <v>121</v>
      </c>
      <c r="D22" s="1">
        <v>0.184</v>
      </c>
    </row>
    <row r="23" spans="2:33" x14ac:dyDescent="0.25">
      <c r="B23" s="1" t="s">
        <v>122</v>
      </c>
      <c r="C23" s="1" t="s">
        <v>123</v>
      </c>
      <c r="D23" s="1" t="s">
        <v>86</v>
      </c>
      <c r="E23" s="1" t="s">
        <v>124</v>
      </c>
      <c r="F23" s="1" t="s">
        <v>86</v>
      </c>
      <c r="G23" s="1" t="s">
        <v>125</v>
      </c>
    </row>
    <row r="25" spans="2:33" x14ac:dyDescent="0.25">
      <c r="B25" s="1" t="s">
        <v>18</v>
      </c>
      <c r="E25" s="1" t="s">
        <v>313</v>
      </c>
    </row>
    <row r="27" spans="2:33" x14ac:dyDescent="0.25">
      <c r="B27" s="1" t="s">
        <v>127</v>
      </c>
      <c r="C27" s="1" t="s">
        <v>6</v>
      </c>
      <c r="D27" s="1" t="s">
        <v>86</v>
      </c>
      <c r="E27" s="1" t="s">
        <v>128</v>
      </c>
    </row>
    <row r="29" spans="2:33" x14ac:dyDescent="0.25">
      <c r="B29" s="1" t="s">
        <v>129</v>
      </c>
      <c r="C29" s="1" t="s">
        <v>130</v>
      </c>
      <c r="D29" s="1" t="s">
        <v>97</v>
      </c>
      <c r="E29" s="1" t="s">
        <v>131</v>
      </c>
    </row>
    <row r="31" spans="2:33" x14ac:dyDescent="0.25">
      <c r="B31" s="1" t="s">
        <v>132</v>
      </c>
      <c r="C31" s="1" t="s">
        <v>133</v>
      </c>
      <c r="D31" s="1" t="s">
        <v>97</v>
      </c>
      <c r="E31" s="1" t="s">
        <v>60</v>
      </c>
    </row>
    <row r="33" spans="2:11" x14ac:dyDescent="0.25">
      <c r="B33" s="1" t="s">
        <v>134</v>
      </c>
      <c r="C33" s="1" t="s">
        <v>60</v>
      </c>
      <c r="D33" s="1" t="s">
        <v>86</v>
      </c>
      <c r="E33" s="1" t="s">
        <v>135</v>
      </c>
      <c r="F33" s="1" t="s">
        <v>97</v>
      </c>
      <c r="G33" s="1">
        <v>1.25</v>
      </c>
      <c r="H33" s="1" t="s">
        <v>86</v>
      </c>
      <c r="I33" s="1" t="s">
        <v>136</v>
      </c>
    </row>
    <row r="35" spans="2:11" x14ac:dyDescent="0.25">
      <c r="B35" s="1" t="s">
        <v>137</v>
      </c>
      <c r="C35" s="1">
        <v>1.3899999999999999E-2</v>
      </c>
      <c r="D35" s="1" t="s">
        <v>86</v>
      </c>
      <c r="E35" s="1" t="s">
        <v>18</v>
      </c>
      <c r="F35" s="1" t="s">
        <v>86</v>
      </c>
      <c r="G35" s="1" t="s">
        <v>22</v>
      </c>
      <c r="H35" s="1" t="s">
        <v>85</v>
      </c>
      <c r="I35" s="1">
        <v>3.0999999999999999E-3</v>
      </c>
      <c r="J35" s="1" t="s">
        <v>86</v>
      </c>
      <c r="K35" s="1" t="s">
        <v>138</v>
      </c>
    </row>
    <row r="37" spans="2:11" x14ac:dyDescent="0.25">
      <c r="B37" s="1" t="s">
        <v>139</v>
      </c>
      <c r="C37" s="1">
        <v>1.3899999999999999E-2</v>
      </c>
      <c r="D37" s="1" t="s">
        <v>86</v>
      </c>
      <c r="E37" s="1" t="s">
        <v>18</v>
      </c>
      <c r="F37" s="1" t="s">
        <v>86</v>
      </c>
      <c r="G37" s="1" t="s">
        <v>22</v>
      </c>
      <c r="H37" s="1" t="s">
        <v>85</v>
      </c>
      <c r="I37" s="1">
        <v>3.14E-3</v>
      </c>
      <c r="J37" s="1" t="s">
        <v>86</v>
      </c>
      <c r="K37" s="1" t="s">
        <v>138</v>
      </c>
    </row>
    <row r="38" spans="2:11" x14ac:dyDescent="0.25">
      <c r="G38" s="1" t="s">
        <v>140</v>
      </c>
    </row>
    <row r="39" spans="2:11" x14ac:dyDescent="0.25">
      <c r="B39" s="1" t="s">
        <v>141</v>
      </c>
      <c r="C39" s="1">
        <v>1.3899999999999999E-2</v>
      </c>
      <c r="D39" s="1" t="s">
        <v>86</v>
      </c>
      <c r="E39" s="1" t="s">
        <v>18</v>
      </c>
      <c r="F39" s="1" t="s">
        <v>86</v>
      </c>
      <c r="G39" s="1" t="s">
        <v>22</v>
      </c>
      <c r="H39" s="1" t="s">
        <v>85</v>
      </c>
      <c r="I39" s="1">
        <v>3.0999999999999999E-3</v>
      </c>
      <c r="J39" s="1" t="s">
        <v>86</v>
      </c>
      <c r="K39" s="1" t="s">
        <v>142</v>
      </c>
    </row>
    <row r="41" spans="2:11" x14ac:dyDescent="0.25">
      <c r="B41" s="1" t="s">
        <v>143</v>
      </c>
      <c r="C41" s="1">
        <v>10</v>
      </c>
      <c r="D41" s="1" t="s">
        <v>144</v>
      </c>
    </row>
    <row r="42" spans="2:11" x14ac:dyDescent="0.25">
      <c r="B42" s="1" t="s">
        <v>145</v>
      </c>
      <c r="C42" s="1" t="s">
        <v>146</v>
      </c>
      <c r="D42" s="1" t="s">
        <v>147</v>
      </c>
      <c r="E42" s="1" t="s">
        <v>97</v>
      </c>
      <c r="F42" s="1">
        <v>2.7</v>
      </c>
      <c r="G42" s="1" t="s">
        <v>86</v>
      </c>
      <c r="H42" s="1" t="s">
        <v>148</v>
      </c>
      <c r="I42" s="1" t="s">
        <v>149</v>
      </c>
    </row>
    <row r="43" spans="2:11" x14ac:dyDescent="0.25">
      <c r="B43" s="1" t="s">
        <v>150</v>
      </c>
      <c r="C43" s="1" t="s">
        <v>22</v>
      </c>
      <c r="D43" s="1" t="s">
        <v>152</v>
      </c>
      <c r="E43" s="1" t="s">
        <v>26</v>
      </c>
    </row>
    <row r="44" spans="2:11" x14ac:dyDescent="0.25">
      <c r="B44" s="1" t="s">
        <v>151</v>
      </c>
      <c r="C44" s="1" t="s">
        <v>153</v>
      </c>
      <c r="D44" s="1" t="s">
        <v>154</v>
      </c>
    </row>
    <row r="46" spans="2:11" x14ac:dyDescent="0.25">
      <c r="B46" s="1" t="s">
        <v>155</v>
      </c>
      <c r="C46" s="1" t="s">
        <v>156</v>
      </c>
      <c r="D46" s="1" t="s">
        <v>97</v>
      </c>
      <c r="E46" s="1" t="s">
        <v>157</v>
      </c>
      <c r="F46" s="1" t="s">
        <v>86</v>
      </c>
      <c r="G46" s="1">
        <v>1.39</v>
      </c>
    </row>
    <row r="48" spans="2:11" x14ac:dyDescent="0.25">
      <c r="B48" s="1" t="s">
        <v>158</v>
      </c>
      <c r="C48" s="1" t="s">
        <v>134</v>
      </c>
      <c r="D48" s="1" t="s">
        <v>97</v>
      </c>
      <c r="E48" s="1" t="s">
        <v>138</v>
      </c>
    </row>
    <row r="50" spans="2:11" x14ac:dyDescent="0.25">
      <c r="B50" s="1" t="s">
        <v>159</v>
      </c>
      <c r="C50" s="1" t="s">
        <v>160</v>
      </c>
    </row>
    <row r="52" spans="2:11" x14ac:dyDescent="0.25">
      <c r="B52" s="1" t="s">
        <v>161</v>
      </c>
      <c r="C52" s="1" t="s">
        <v>158</v>
      </c>
      <c r="D52" s="1" t="s">
        <v>100</v>
      </c>
      <c r="E52" s="1" t="s">
        <v>138</v>
      </c>
    </row>
    <row r="54" spans="2:11" x14ac:dyDescent="0.25">
      <c r="B54" s="1" t="s">
        <v>162</v>
      </c>
      <c r="C54" s="1" t="s">
        <v>163</v>
      </c>
      <c r="D54" s="1" t="s">
        <v>86</v>
      </c>
      <c r="E54" s="1" t="s">
        <v>18</v>
      </c>
      <c r="F54" s="1" t="s">
        <v>86</v>
      </c>
      <c r="G54" s="1" t="s">
        <v>164</v>
      </c>
      <c r="H54" s="1" t="s">
        <v>85</v>
      </c>
      <c r="I54" s="1">
        <v>3.14E-3</v>
      </c>
      <c r="J54" s="1" t="s">
        <v>86</v>
      </c>
      <c r="K54" s="1" t="s">
        <v>134</v>
      </c>
    </row>
    <row r="55" spans="2:11" x14ac:dyDescent="0.25">
      <c r="B55" s="1" t="s">
        <v>165</v>
      </c>
      <c r="C55" s="1" t="s">
        <v>166</v>
      </c>
      <c r="D55" s="1" t="s">
        <v>97</v>
      </c>
      <c r="E55" s="1" t="s">
        <v>105</v>
      </c>
    </row>
    <row r="56" spans="2:11" x14ac:dyDescent="0.25">
      <c r="B56" s="1" t="s">
        <v>105</v>
      </c>
      <c r="C56" s="1">
        <v>0</v>
      </c>
      <c r="D56" s="1" t="s">
        <v>167</v>
      </c>
      <c r="E56" s="1" t="s">
        <v>168</v>
      </c>
    </row>
    <row r="57" spans="2:11" x14ac:dyDescent="0.25">
      <c r="C57" s="1">
        <v>0.01</v>
      </c>
      <c r="E57" s="1" t="s">
        <v>169</v>
      </c>
      <c r="F57" s="1" t="s">
        <v>97</v>
      </c>
      <c r="G57" s="1" t="s">
        <v>170</v>
      </c>
    </row>
    <row r="58" spans="2:11" x14ac:dyDescent="0.25">
      <c r="C58" s="1">
        <v>0.02</v>
      </c>
      <c r="E58" s="1" t="s">
        <v>171</v>
      </c>
    </row>
    <row r="60" spans="2:11" x14ac:dyDescent="0.25">
      <c r="B60" s="1" t="s">
        <v>172</v>
      </c>
      <c r="C60" s="1" t="s">
        <v>137</v>
      </c>
      <c r="D60" s="1" t="s">
        <v>97</v>
      </c>
      <c r="E60" s="1" t="s">
        <v>141</v>
      </c>
    </row>
    <row r="62" spans="2:11" x14ac:dyDescent="0.25">
      <c r="B62" s="1" t="s">
        <v>173</v>
      </c>
      <c r="C62" s="1">
        <v>100</v>
      </c>
      <c r="D62" s="1" t="s">
        <v>86</v>
      </c>
      <c r="E62" s="1" t="s">
        <v>174</v>
      </c>
      <c r="F62" s="1" t="s">
        <v>100</v>
      </c>
      <c r="G62" s="1" t="s">
        <v>175</v>
      </c>
    </row>
    <row r="64" spans="2:11" x14ac:dyDescent="0.25">
      <c r="B64" s="1" t="s">
        <v>176</v>
      </c>
      <c r="C64" s="1" t="s">
        <v>177</v>
      </c>
      <c r="D64" s="1" t="s">
        <v>86</v>
      </c>
      <c r="E64" s="1" t="s">
        <v>178</v>
      </c>
      <c r="F64" s="1" t="s">
        <v>100</v>
      </c>
      <c r="G64" s="1" t="s">
        <v>133</v>
      </c>
    </row>
    <row r="66" spans="2:5" x14ac:dyDescent="0.25">
      <c r="B66" s="1" t="s">
        <v>179</v>
      </c>
      <c r="C66" s="1" t="s">
        <v>180</v>
      </c>
      <c r="D66" s="1" t="s">
        <v>85</v>
      </c>
      <c r="E66" s="1" t="s">
        <v>13</v>
      </c>
    </row>
    <row r="68" spans="2:5" x14ac:dyDescent="0.25">
      <c r="B68" s="1" t="s">
        <v>181</v>
      </c>
      <c r="C68" s="5"/>
      <c r="E68" s="1" t="s">
        <v>310</v>
      </c>
    </row>
    <row r="70" spans="2:5" x14ac:dyDescent="0.25">
      <c r="B70" s="1" t="s">
        <v>182</v>
      </c>
    </row>
    <row r="71" spans="2:5" x14ac:dyDescent="0.25">
      <c r="B71" s="1" t="s">
        <v>183</v>
      </c>
      <c r="E71" s="1" t="s">
        <v>307</v>
      </c>
    </row>
    <row r="73" spans="2:5" x14ac:dyDescent="0.25">
      <c r="B73" s="1" t="s">
        <v>184</v>
      </c>
      <c r="E73" s="1" t="s">
        <v>308</v>
      </c>
    </row>
    <row r="75" spans="2:5" x14ac:dyDescent="0.25">
      <c r="B75" s="1" t="s">
        <v>185</v>
      </c>
      <c r="E75" s="1" t="s">
        <v>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BBBE-65D3-4CA0-A633-F472C3DE6D58}">
  <dimension ref="C2:AY10"/>
  <sheetViews>
    <sheetView tabSelected="1" topLeftCell="E1" workbookViewId="0">
      <selection activeCell="S7" sqref="S7"/>
    </sheetView>
  </sheetViews>
  <sheetFormatPr defaultRowHeight="15" x14ac:dyDescent="0.25"/>
  <cols>
    <col min="1" max="2" width="9.140625" style="1"/>
    <col min="3" max="3" width="11" style="1" customWidth="1"/>
    <col min="4" max="4" width="22.5703125" style="1" bestFit="1" customWidth="1"/>
    <col min="5" max="8" width="11" style="1" customWidth="1"/>
    <col min="9" max="9" width="11" style="1" hidden="1" customWidth="1"/>
    <col min="10" max="15" width="11" style="1" customWidth="1"/>
    <col min="16" max="37" width="12" style="1" customWidth="1"/>
    <col min="38" max="16384" width="9.140625" style="1"/>
  </cols>
  <sheetData>
    <row r="2" spans="3:51" x14ac:dyDescent="0.25">
      <c r="C2" s="1" t="s">
        <v>190</v>
      </c>
      <c r="J2" s="1" t="s">
        <v>195</v>
      </c>
      <c r="M2" s="1" t="s">
        <v>196</v>
      </c>
      <c r="S2" s="1" t="s">
        <v>201</v>
      </c>
    </row>
    <row r="3" spans="3:51" ht="18" x14ac:dyDescent="0.25">
      <c r="C3" s="1" t="s">
        <v>1</v>
      </c>
      <c r="G3" s="1" t="s">
        <v>192</v>
      </c>
      <c r="H3" s="1" t="s">
        <v>47</v>
      </c>
      <c r="I3" s="1" t="s">
        <v>126</v>
      </c>
      <c r="J3" s="1" t="s">
        <v>191</v>
      </c>
      <c r="K3" s="1" t="s">
        <v>193</v>
      </c>
      <c r="L3" s="1" t="s">
        <v>194</v>
      </c>
      <c r="M3" s="1" t="s">
        <v>18</v>
      </c>
      <c r="N3" s="1" t="s">
        <v>52</v>
      </c>
      <c r="O3" s="1" t="s">
        <v>23</v>
      </c>
      <c r="P3" s="1" t="s">
        <v>24</v>
      </c>
      <c r="Q3" s="1" t="s">
        <v>25</v>
      </c>
      <c r="R3" s="1" t="s">
        <v>53</v>
      </c>
      <c r="S3" s="1" t="s">
        <v>27</v>
      </c>
      <c r="T3" s="1" t="s">
        <v>197</v>
      </c>
      <c r="U3" s="1" t="s">
        <v>88</v>
      </c>
      <c r="V3" s="1" t="s">
        <v>127</v>
      </c>
      <c r="W3" s="1" t="s">
        <v>205</v>
      </c>
      <c r="X3" s="1" t="s">
        <v>132</v>
      </c>
      <c r="Y3" s="1" t="s">
        <v>134</v>
      </c>
      <c r="Z3" s="1" t="s">
        <v>137</v>
      </c>
      <c r="AA3" s="1" t="s">
        <v>155</v>
      </c>
      <c r="AB3" s="1" t="s">
        <v>198</v>
      </c>
      <c r="AC3" s="1" t="s">
        <v>140</v>
      </c>
      <c r="AD3" s="1" t="s">
        <v>199</v>
      </c>
      <c r="AE3" s="1" t="s">
        <v>200</v>
      </c>
      <c r="AF3" s="1" t="s">
        <v>158</v>
      </c>
      <c r="AG3" s="1" t="s">
        <v>159</v>
      </c>
      <c r="AH3" s="1" t="s">
        <v>161</v>
      </c>
      <c r="AI3" s="1" t="s">
        <v>162</v>
      </c>
      <c r="AJ3" s="1" t="s">
        <v>173</v>
      </c>
      <c r="AK3" s="1" t="s">
        <v>176</v>
      </c>
      <c r="AL3" s="1" t="s">
        <v>203</v>
      </c>
      <c r="AM3" s="1" t="s">
        <v>60</v>
      </c>
      <c r="AN3" s="1" t="s">
        <v>204</v>
      </c>
    </row>
    <row r="4" spans="3:51" x14ac:dyDescent="0.25">
      <c r="G4" s="1" t="s">
        <v>10</v>
      </c>
      <c r="H4" s="1" t="s">
        <v>10</v>
      </c>
      <c r="I4" s="1" t="s">
        <v>12</v>
      </c>
      <c r="K4" s="1" t="s">
        <v>10</v>
      </c>
      <c r="L4" s="1" t="s">
        <v>10</v>
      </c>
      <c r="M4" s="1" t="s">
        <v>19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10</v>
      </c>
      <c r="Y4" s="1" t="s">
        <v>10</v>
      </c>
      <c r="Z4" s="1" t="s">
        <v>10</v>
      </c>
      <c r="AA4" s="1" t="s">
        <v>202</v>
      </c>
      <c r="AB4" s="1" t="s">
        <v>202</v>
      </c>
      <c r="AC4" s="1" t="s">
        <v>12</v>
      </c>
      <c r="AD4" s="1" t="s">
        <v>11</v>
      </c>
      <c r="AE4" s="1" t="s">
        <v>11</v>
      </c>
      <c r="AF4" s="1" t="s">
        <v>10</v>
      </c>
      <c r="AI4" s="1" t="s">
        <v>202</v>
      </c>
      <c r="AJ4" s="1" t="s">
        <v>12</v>
      </c>
      <c r="AK4" s="1" t="s">
        <v>12</v>
      </c>
      <c r="AL4" s="1" t="s">
        <v>42</v>
      </c>
      <c r="AM4" s="1" t="s">
        <v>12</v>
      </c>
      <c r="AN4" s="1" t="s">
        <v>10</v>
      </c>
    </row>
    <row r="5" spans="3:51" ht="18" x14ac:dyDescent="0.25">
      <c r="C5" s="4" t="s">
        <v>206</v>
      </c>
      <c r="D5" s="4" t="s">
        <v>208</v>
      </c>
      <c r="E5" s="4" t="s">
        <v>207</v>
      </c>
      <c r="F5" s="1" t="s">
        <v>1</v>
      </c>
      <c r="G5" s="1" t="s">
        <v>192</v>
      </c>
      <c r="H5" s="1" t="s">
        <v>47</v>
      </c>
      <c r="I5" s="1" t="s">
        <v>126</v>
      </c>
      <c r="J5" s="1" t="s">
        <v>191</v>
      </c>
      <c r="K5" s="1" t="s">
        <v>193</v>
      </c>
      <c r="L5" s="1" t="s">
        <v>194</v>
      </c>
      <c r="M5" s="1" t="s">
        <v>18</v>
      </c>
      <c r="N5" s="1" t="s">
        <v>52</v>
      </c>
      <c r="O5" s="1" t="s">
        <v>23</v>
      </c>
      <c r="P5" s="1" t="s">
        <v>24</v>
      </c>
      <c r="Q5" s="1" t="s">
        <v>25</v>
      </c>
      <c r="R5" s="1" t="s">
        <v>53</v>
      </c>
      <c r="S5" s="1" t="s">
        <v>27</v>
      </c>
      <c r="T5" s="1" t="s">
        <v>197</v>
      </c>
      <c r="U5" s="1" t="s">
        <v>88</v>
      </c>
      <c r="V5" s="1" t="s">
        <v>127</v>
      </c>
      <c r="W5" s="1" t="s">
        <v>205</v>
      </c>
      <c r="X5" s="1" t="s">
        <v>132</v>
      </c>
      <c r="Y5" s="1" t="s">
        <v>134</v>
      </c>
      <c r="Z5" s="1" t="s">
        <v>137</v>
      </c>
      <c r="AA5" s="1" t="s">
        <v>155</v>
      </c>
      <c r="AB5" s="1" t="s">
        <v>198</v>
      </c>
      <c r="AC5" s="1" t="s">
        <v>140</v>
      </c>
      <c r="AD5" s="1" t="s">
        <v>199</v>
      </c>
      <c r="AE5" s="1" t="s">
        <v>200</v>
      </c>
      <c r="AF5" s="1" t="s">
        <v>158</v>
      </c>
      <c r="AG5" s="1" t="s">
        <v>159</v>
      </c>
      <c r="AH5" s="1" t="s">
        <v>161</v>
      </c>
      <c r="AI5" s="1" t="s">
        <v>162</v>
      </c>
      <c r="AJ5" s="1" t="s">
        <v>173</v>
      </c>
      <c r="AK5" s="1" t="s">
        <v>176</v>
      </c>
      <c r="AL5" s="1" t="s">
        <v>203</v>
      </c>
      <c r="AM5" s="1" t="s">
        <v>60</v>
      </c>
      <c r="AN5" s="4" t="s">
        <v>204</v>
      </c>
    </row>
    <row r="6" spans="3:51" x14ac:dyDescent="0.25">
      <c r="C6" s="4">
        <f>ROW()-5</f>
        <v>1</v>
      </c>
      <c r="F6" s="6">
        <v>7.5</v>
      </c>
      <c r="G6" s="4">
        <v>53</v>
      </c>
      <c r="H6" s="4">
        <v>162</v>
      </c>
      <c r="I6" s="5"/>
      <c r="J6" s="6">
        <f>Table8[[#This Row],[pH]]+(Table8[[#This Row],[Temp]]-37)*(0.0147+0.0065*(7.4-Table8[[#This Row],[pH]]))</f>
        <v>7.5</v>
      </c>
      <c r="K6" s="4">
        <f>Table8[[#This Row],[pCO2]]*10^(0.019*(Table8[[#This Row],[Temp]]-37))</f>
        <v>53</v>
      </c>
      <c r="L6" s="4">
        <f>Table8[[#This Row],[pO2]]*10^(1*(Table8[[#This Row],[Temp]]-37))</f>
        <v>162</v>
      </c>
      <c r="M6" s="5">
        <v>12.9</v>
      </c>
      <c r="N6" s="5">
        <v>97</v>
      </c>
      <c r="O6" s="5">
        <v>0.9</v>
      </c>
      <c r="P6" s="5">
        <v>1.2</v>
      </c>
      <c r="Q6" s="5">
        <v>0.9</v>
      </c>
      <c r="R6" s="5">
        <v>99.1</v>
      </c>
      <c r="S6" s="5">
        <f>Table8[[#This Row],[HCO3-(c)]]+0.0307*Table8[[#This Row],[pCO2]]</f>
        <v>42.35114333887293</v>
      </c>
      <c r="T6" s="5"/>
      <c r="U6" s="5">
        <f>(1-0.0143*Table8[[#This Row],[tHb]])*(0.034*Table8[[#This Row],[pCO2]]*10^(Table8[[#This Row],[pH]]-6.1)-24.26)+((9.5+1.63*Table8[[#This Row],[tHb]])*(Table8[[#This Row],[pH]]-7.4))-0.2*Table8[[#This Row],[tHb]]*(100-Table8[[#This Row],[sO2]])/100</f>
        <v>20.159029921631959</v>
      </c>
      <c r="V6" s="5"/>
      <c r="W6" s="5"/>
      <c r="X6" s="4"/>
      <c r="Y6" s="5"/>
      <c r="Z6" s="5"/>
      <c r="AA6" s="5"/>
      <c r="AB6" s="5"/>
      <c r="AC6" s="5"/>
      <c r="AD6" s="5">
        <f>25+0.78*Table8[[#This Row],[BE(B)]]+0.002*Table8[[#This Row],[BP]]*(Table8[[#This Row],[O2Hb]]-100)</f>
        <v>40.724043338872931</v>
      </c>
      <c r="AE6" s="5"/>
      <c r="AF6" s="4"/>
      <c r="AG6" s="6"/>
      <c r="AH6" s="5"/>
      <c r="AI6" s="5"/>
      <c r="AJ6" s="5"/>
      <c r="AK6" s="4"/>
      <c r="AL6" s="5">
        <v>37</v>
      </c>
      <c r="AM6" s="4"/>
      <c r="AN6" s="4"/>
    </row>
    <row r="7" spans="3:51" x14ac:dyDescent="0.25">
      <c r="C7" s="4">
        <f>ROW()-5</f>
        <v>2</v>
      </c>
      <c r="D7" s="93">
        <v>1124041567</v>
      </c>
      <c r="E7" s="93"/>
      <c r="F7" s="94">
        <v>7.4489999999999998</v>
      </c>
      <c r="G7" s="4">
        <v>37.200000000000003</v>
      </c>
      <c r="H7" s="4">
        <v>190.6</v>
      </c>
      <c r="I7" s="4"/>
      <c r="J7" s="94">
        <f>Table8[[#This Row],[pH]]+(Table8[[#This Row],[Temp]]-37)*(0.0147+0.0065*(7.4-Table8[[#This Row],[pH]]))</f>
        <v>7.4403711000000001</v>
      </c>
      <c r="K7" s="5">
        <f>Table8[[#This Row],[pCO2]]*10^(0.019*(Table8[[#This Row],[Temp]]-37))</f>
        <v>36.236224352697128</v>
      </c>
      <c r="L7" s="5">
        <f>Table8[[#This Row],[pO2]]*10^(1*(Table8[[#This Row],[Temp]]-37))</f>
        <v>47.876555384572434</v>
      </c>
      <c r="M7" s="5"/>
      <c r="N7" s="5"/>
      <c r="O7" s="5"/>
      <c r="P7" s="5"/>
      <c r="Q7" s="5"/>
      <c r="R7" s="5"/>
      <c r="S7" s="5">
        <f>Table8[[#This Row],[HCO3-(c)]]+0.0307*Table8[[#This Row],[pCO2]]</f>
        <v>29.61750275000125</v>
      </c>
      <c r="T7" s="5"/>
      <c r="U7" s="5">
        <f>(1-0.0143*Table8[[#This Row],[tHb]])*(0.034*Table8[[#This Row],[pCO2]]*10^(Table8[[#This Row],[pH]]-6.1)-24.26)+((9.5+1.63*Table8[[#This Row],[tHb]])*(Table8[[#This Row],[pH]]-7.4))-0.2*Table8[[#This Row],[tHb]]*(100-Table8[[#This Row],[sO2]])/100</f>
        <v>4.4557214743605762</v>
      </c>
      <c r="V7" s="5"/>
      <c r="W7" s="5"/>
      <c r="X7" s="4"/>
      <c r="Y7" s="5"/>
      <c r="Z7" s="5"/>
      <c r="AA7" s="5"/>
      <c r="AB7" s="5"/>
      <c r="AC7" s="5"/>
      <c r="AD7" s="5">
        <f>25+0.78*Table8[[#This Row],[BE(B)]]+0.002*Table8[[#This Row],[BP]]*(Table8[[#This Row],[O2Hb]]-100)</f>
        <v>28.475462750001249</v>
      </c>
      <c r="AE7" s="5"/>
      <c r="AF7" s="4"/>
      <c r="AG7" s="6"/>
      <c r="AH7" s="5"/>
      <c r="AI7" s="5"/>
      <c r="AJ7" s="5"/>
      <c r="AK7" s="4"/>
      <c r="AL7" s="4">
        <v>36.4</v>
      </c>
      <c r="AM7" s="4">
        <v>80</v>
      </c>
      <c r="AN7" s="4"/>
    </row>
    <row r="10" spans="3:51" x14ac:dyDescent="0.25">
      <c r="U10" s="1" t="s">
        <v>107</v>
      </c>
      <c r="V10" s="1" t="s">
        <v>97</v>
      </c>
      <c r="W10" s="1">
        <v>1.43E-2</v>
      </c>
      <c r="X10" s="1" t="s">
        <v>86</v>
      </c>
      <c r="Y10" s="1" t="s">
        <v>108</v>
      </c>
      <c r="Z10" s="1" t="s">
        <v>86</v>
      </c>
      <c r="AA10" s="1" t="s">
        <v>110</v>
      </c>
      <c r="AB10" s="1" t="s">
        <v>86</v>
      </c>
      <c r="AC10" s="1" t="s">
        <v>2</v>
      </c>
      <c r="AD10" s="1" t="s">
        <v>86</v>
      </c>
      <c r="AE10" s="1" t="s">
        <v>111</v>
      </c>
      <c r="AF10" s="1" t="s">
        <v>97</v>
      </c>
      <c r="AG10" s="1" t="s">
        <v>112</v>
      </c>
      <c r="AH10" s="1" t="s">
        <v>85</v>
      </c>
      <c r="AI10" s="1" t="s">
        <v>113</v>
      </c>
      <c r="AJ10" s="1" t="s">
        <v>85</v>
      </c>
      <c r="AK10" s="1">
        <v>1.63</v>
      </c>
      <c r="AL10" s="1" t="s">
        <v>86</v>
      </c>
      <c r="AM10" s="1" t="s">
        <v>108</v>
      </c>
      <c r="AN10" s="1" t="s">
        <v>86</v>
      </c>
      <c r="AO10" s="1" t="s">
        <v>114</v>
      </c>
      <c r="AP10" s="1" t="s">
        <v>97</v>
      </c>
      <c r="AQ10" s="1">
        <v>0.2</v>
      </c>
      <c r="AR10" s="1" t="s">
        <v>86</v>
      </c>
      <c r="AS10" s="1" t="s">
        <v>18</v>
      </c>
      <c r="AT10" s="1" t="s">
        <v>86</v>
      </c>
      <c r="AU10" s="1" t="s">
        <v>115</v>
      </c>
      <c r="AV10" s="1" t="s">
        <v>97</v>
      </c>
      <c r="AW10" s="1" t="s">
        <v>116</v>
      </c>
      <c r="AX10" s="1" t="s">
        <v>100</v>
      </c>
      <c r="AY10" s="1">
        <v>100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45EF-C6DB-4301-9F4C-11226F0ACFD0}">
  <dimension ref="C2:AT16"/>
  <sheetViews>
    <sheetView topLeftCell="E3" workbookViewId="0">
      <selection activeCell="K12" sqref="K12"/>
    </sheetView>
  </sheetViews>
  <sheetFormatPr defaultRowHeight="15" x14ac:dyDescent="0.25"/>
  <cols>
    <col min="1" max="2" width="9.140625" style="1"/>
    <col min="3" max="3" width="11" style="1" customWidth="1"/>
    <col min="4" max="4" width="22.5703125" style="1" bestFit="1" customWidth="1"/>
    <col min="5" max="12" width="11" style="1" customWidth="1"/>
    <col min="13" max="15" width="11" style="1" hidden="1" customWidth="1"/>
    <col min="16" max="37" width="12" style="1" hidden="1" customWidth="1"/>
    <col min="38" max="16384" width="9.140625" style="1"/>
  </cols>
  <sheetData>
    <row r="2" spans="3:46" x14ac:dyDescent="0.25">
      <c r="C2" s="1" t="s">
        <v>190</v>
      </c>
      <c r="J2" s="1" t="s">
        <v>195</v>
      </c>
      <c r="M2" s="1" t="s">
        <v>196</v>
      </c>
      <c r="S2" s="1" t="s">
        <v>201</v>
      </c>
      <c r="AT2" s="1" t="s">
        <v>211</v>
      </c>
    </row>
    <row r="3" spans="3:46" ht="18" x14ac:dyDescent="0.25">
      <c r="C3" s="1" t="s">
        <v>1</v>
      </c>
      <c r="G3" s="1" t="s">
        <v>192</v>
      </c>
      <c r="H3" s="1" t="s">
        <v>47</v>
      </c>
      <c r="I3" s="1" t="s">
        <v>126</v>
      </c>
      <c r="J3" s="1" t="s">
        <v>191</v>
      </c>
      <c r="K3" s="1" t="s">
        <v>193</v>
      </c>
      <c r="L3" s="1" t="s">
        <v>194</v>
      </c>
      <c r="M3" s="1" t="s">
        <v>18</v>
      </c>
      <c r="N3" s="1" t="s">
        <v>52</v>
      </c>
      <c r="O3" s="1" t="s">
        <v>23</v>
      </c>
      <c r="P3" s="1" t="s">
        <v>24</v>
      </c>
      <c r="Q3" s="1" t="s">
        <v>25</v>
      </c>
      <c r="R3" s="1" t="s">
        <v>53</v>
      </c>
      <c r="S3" s="1" t="s">
        <v>27</v>
      </c>
      <c r="T3" s="1" t="s">
        <v>197</v>
      </c>
      <c r="U3" s="1" t="s">
        <v>88</v>
      </c>
      <c r="V3" s="1" t="s">
        <v>127</v>
      </c>
      <c r="W3" s="1" t="s">
        <v>205</v>
      </c>
      <c r="X3" s="1" t="s">
        <v>132</v>
      </c>
      <c r="Y3" s="1" t="s">
        <v>134</v>
      </c>
      <c r="Z3" s="1" t="s">
        <v>137</v>
      </c>
      <c r="AA3" s="1" t="s">
        <v>155</v>
      </c>
      <c r="AB3" s="1" t="s">
        <v>198</v>
      </c>
      <c r="AC3" s="1" t="s">
        <v>140</v>
      </c>
      <c r="AD3" s="1" t="s">
        <v>199</v>
      </c>
      <c r="AE3" s="1" t="s">
        <v>200</v>
      </c>
      <c r="AF3" s="1" t="s">
        <v>158</v>
      </c>
      <c r="AG3" s="1" t="s">
        <v>159</v>
      </c>
      <c r="AH3" s="1" t="s">
        <v>161</v>
      </c>
      <c r="AI3" s="1" t="s">
        <v>162</v>
      </c>
      <c r="AJ3" s="1" t="s">
        <v>173</v>
      </c>
      <c r="AK3" s="1" t="s">
        <v>176</v>
      </c>
      <c r="AL3" s="1" t="s">
        <v>203</v>
      </c>
      <c r="AO3" s="1" t="s">
        <v>60</v>
      </c>
      <c r="AP3" s="1" t="s">
        <v>204</v>
      </c>
      <c r="AT3" s="1" t="s">
        <v>212</v>
      </c>
    </row>
    <row r="4" spans="3:46" x14ac:dyDescent="0.25">
      <c r="G4" s="1" t="s">
        <v>10</v>
      </c>
      <c r="H4" s="1" t="s">
        <v>10</v>
      </c>
      <c r="I4" s="1" t="s">
        <v>12</v>
      </c>
      <c r="K4" s="1" t="s">
        <v>10</v>
      </c>
      <c r="L4" s="1" t="s">
        <v>10</v>
      </c>
      <c r="M4" s="1" t="s">
        <v>19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10</v>
      </c>
      <c r="Y4" s="1" t="s">
        <v>10</v>
      </c>
      <c r="Z4" s="1" t="s">
        <v>10</v>
      </c>
      <c r="AA4" s="1" t="s">
        <v>202</v>
      </c>
      <c r="AB4" s="1" t="s">
        <v>202</v>
      </c>
      <c r="AC4" s="1" t="s">
        <v>12</v>
      </c>
      <c r="AD4" s="1" t="s">
        <v>11</v>
      </c>
      <c r="AE4" s="1" t="s">
        <v>11</v>
      </c>
      <c r="AF4" s="1" t="s">
        <v>10</v>
      </c>
      <c r="AI4" s="1" t="s">
        <v>202</v>
      </c>
      <c r="AJ4" s="1" t="s">
        <v>12</v>
      </c>
      <c r="AK4" s="1" t="s">
        <v>12</v>
      </c>
      <c r="AL4" s="1" t="s">
        <v>42</v>
      </c>
      <c r="AO4" s="1" t="s">
        <v>12</v>
      </c>
      <c r="AP4" s="1" t="s">
        <v>10</v>
      </c>
    </row>
    <row r="5" spans="3:46" ht="18" x14ac:dyDescent="0.25">
      <c r="C5" s="4" t="s">
        <v>206</v>
      </c>
      <c r="D5" s="4" t="s">
        <v>208</v>
      </c>
      <c r="E5" s="4" t="s">
        <v>207</v>
      </c>
      <c r="F5" s="1" t="s">
        <v>1</v>
      </c>
      <c r="G5" s="1" t="s">
        <v>192</v>
      </c>
      <c r="H5" s="1" t="s">
        <v>47</v>
      </c>
      <c r="I5" s="1" t="s">
        <v>126</v>
      </c>
      <c r="J5" s="1" t="s">
        <v>191</v>
      </c>
      <c r="K5" s="1" t="s">
        <v>193</v>
      </c>
      <c r="L5" s="1" t="s">
        <v>194</v>
      </c>
      <c r="M5" s="1" t="s">
        <v>18</v>
      </c>
      <c r="N5" s="1" t="s">
        <v>52</v>
      </c>
      <c r="O5" s="1" t="s">
        <v>23</v>
      </c>
      <c r="P5" s="1" t="s">
        <v>24</v>
      </c>
      <c r="Q5" s="1" t="s">
        <v>25</v>
      </c>
      <c r="R5" s="1" t="s">
        <v>53</v>
      </c>
      <c r="S5" s="1" t="s">
        <v>27</v>
      </c>
      <c r="T5" s="1" t="s">
        <v>197</v>
      </c>
      <c r="U5" s="1" t="s">
        <v>88</v>
      </c>
      <c r="V5" s="1" t="s">
        <v>127</v>
      </c>
      <c r="W5" s="1" t="s">
        <v>205</v>
      </c>
      <c r="X5" s="1" t="s">
        <v>132</v>
      </c>
      <c r="Y5" s="1" t="s">
        <v>134</v>
      </c>
      <c r="Z5" s="1" t="s">
        <v>137</v>
      </c>
      <c r="AA5" s="1" t="s">
        <v>155</v>
      </c>
      <c r="AB5" s="1" t="s">
        <v>198</v>
      </c>
      <c r="AC5" s="1" t="s">
        <v>140</v>
      </c>
      <c r="AD5" s="1" t="s">
        <v>199</v>
      </c>
      <c r="AE5" s="1" t="s">
        <v>200</v>
      </c>
      <c r="AF5" s="1" t="s">
        <v>158</v>
      </c>
      <c r="AG5" s="1" t="s">
        <v>159</v>
      </c>
      <c r="AH5" s="1" t="s">
        <v>161</v>
      </c>
      <c r="AI5" s="1" t="s">
        <v>162</v>
      </c>
      <c r="AJ5" s="1" t="s">
        <v>173</v>
      </c>
      <c r="AK5" s="1" t="s">
        <v>176</v>
      </c>
      <c r="AL5" s="1" t="s">
        <v>203</v>
      </c>
      <c r="AM5" s="1" t="s">
        <v>105</v>
      </c>
      <c r="AN5" s="1" t="s">
        <v>210</v>
      </c>
      <c r="AO5" s="1" t="s">
        <v>60</v>
      </c>
      <c r="AP5" s="4" t="s">
        <v>204</v>
      </c>
    </row>
    <row r="6" spans="3:46" x14ac:dyDescent="0.25">
      <c r="C6" s="4">
        <f>ROW()-5</f>
        <v>1</v>
      </c>
      <c r="F6" s="6">
        <v>7.15</v>
      </c>
      <c r="G6" s="4">
        <v>69</v>
      </c>
      <c r="H6" s="4">
        <v>98</v>
      </c>
      <c r="I6" s="5">
        <v>0</v>
      </c>
      <c r="J6" s="6">
        <v>7.16</v>
      </c>
      <c r="K6" s="4">
        <v>68</v>
      </c>
      <c r="L6" s="4">
        <v>95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/>
      <c r="W6" s="5"/>
      <c r="X6" s="4"/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4"/>
      <c r="AG6" s="6">
        <v>0</v>
      </c>
      <c r="AH6" s="5">
        <v>0</v>
      </c>
      <c r="AI6" s="5">
        <v>0</v>
      </c>
      <c r="AJ6" s="5">
        <v>0</v>
      </c>
      <c r="AK6" s="4"/>
      <c r="AL6" s="5">
        <v>0</v>
      </c>
      <c r="AM6" s="5"/>
      <c r="AN6" s="5"/>
      <c r="AO6" s="4"/>
      <c r="AP6" s="4"/>
    </row>
    <row r="7" spans="3:46" x14ac:dyDescent="0.25">
      <c r="C7" s="4">
        <f>ROW()-5</f>
        <v>2</v>
      </c>
      <c r="F7" s="6">
        <v>7.15</v>
      </c>
      <c r="G7" s="4">
        <v>69</v>
      </c>
      <c r="H7" s="4">
        <v>98</v>
      </c>
      <c r="I7" s="4"/>
      <c r="J7" s="6">
        <f>Table810[[#This Row],[pH]]+(Table810[[#This Row],[Temp]]-37)*(-0.0147+0.0065*(7.4-Table810[[#This Row],[pH]]))</f>
        <v>7.15</v>
      </c>
      <c r="K7" s="4">
        <f>Table810[[#This Row],[pCO2]]*10^(0.019*(Table810[[#This Row],[Temp]]-37))</f>
        <v>69</v>
      </c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4"/>
      <c r="Y7" s="5"/>
      <c r="Z7" s="5"/>
      <c r="AA7" s="5"/>
      <c r="AB7" s="5"/>
      <c r="AC7" s="5"/>
      <c r="AD7" s="5"/>
      <c r="AE7" s="5"/>
      <c r="AF7" s="4"/>
      <c r="AG7" s="6"/>
      <c r="AH7" s="5"/>
      <c r="AI7" s="5"/>
      <c r="AJ7" s="5"/>
      <c r="AK7" s="4"/>
      <c r="AL7" s="4">
        <v>37</v>
      </c>
      <c r="AM7" s="9">
        <f>(Table810[[#This Row],[pO2]]/26.7)^0.184</f>
        <v>1.2703035911347484</v>
      </c>
      <c r="AN7" s="4"/>
      <c r="AO7" s="4">
        <v>21</v>
      </c>
      <c r="AP7" s="4">
        <v>760</v>
      </c>
    </row>
    <row r="9" spans="3:46" x14ac:dyDescent="0.25">
      <c r="F9" s="1">
        <v>7.15</v>
      </c>
      <c r="G9" s="1">
        <v>69</v>
      </c>
      <c r="H9" s="1">
        <v>98</v>
      </c>
      <c r="J9" s="1">
        <v>7.16</v>
      </c>
      <c r="K9" s="1">
        <v>68</v>
      </c>
      <c r="L9" s="1">
        <v>95</v>
      </c>
      <c r="M9" s="1">
        <v>15.6</v>
      </c>
      <c r="N9" s="1">
        <v>95.7</v>
      </c>
      <c r="O9" s="1">
        <v>1.1000000000000001</v>
      </c>
      <c r="P9" s="1">
        <v>1</v>
      </c>
      <c r="Q9" s="1">
        <v>2.2999999999999998</v>
      </c>
      <c r="R9" s="1">
        <v>97.7</v>
      </c>
      <c r="S9" s="1">
        <v>26.1</v>
      </c>
      <c r="T9" s="1">
        <v>-4.9000000000000004</v>
      </c>
      <c r="U9" s="1">
        <v>-6.5</v>
      </c>
      <c r="X9" s="1">
        <v>102</v>
      </c>
      <c r="Y9" s="1">
        <v>599</v>
      </c>
      <c r="Z9" s="1">
        <v>21</v>
      </c>
      <c r="AA9" s="1">
        <v>21.2</v>
      </c>
      <c r="AB9" s="1">
        <v>21</v>
      </c>
      <c r="AC9" s="1">
        <v>95.3</v>
      </c>
      <c r="AD9" s="1">
        <v>24</v>
      </c>
      <c r="AE9" s="1">
        <v>19.8</v>
      </c>
      <c r="AF9" s="1">
        <v>504</v>
      </c>
      <c r="AG9" s="1">
        <v>0.16</v>
      </c>
      <c r="AH9" s="1">
        <v>5.3</v>
      </c>
      <c r="AI9" s="1">
        <v>23.3</v>
      </c>
      <c r="AJ9" s="1">
        <v>39.700000000000003</v>
      </c>
    </row>
    <row r="10" spans="3:46" x14ac:dyDescent="0.25">
      <c r="D10" s="6"/>
      <c r="E10" s="6"/>
      <c r="F10" s="6">
        <v>7.181</v>
      </c>
      <c r="G10" s="4">
        <v>54.7</v>
      </c>
      <c r="H10" s="4">
        <v>73.8</v>
      </c>
      <c r="I10" s="5">
        <v>42.8</v>
      </c>
      <c r="M10" s="1">
        <v>36.5</v>
      </c>
      <c r="S10" s="1">
        <v>21.4</v>
      </c>
      <c r="T10" s="1">
        <v>-9</v>
      </c>
      <c r="U10" s="1">
        <v>-7.8</v>
      </c>
      <c r="Z10" s="1">
        <v>21.4</v>
      </c>
      <c r="AB10" s="1">
        <v>18.899999999999999</v>
      </c>
      <c r="AD10" s="1">
        <v>19.7</v>
      </c>
      <c r="AE10" s="1">
        <v>17.2</v>
      </c>
      <c r="AF10" s="1">
        <v>555.4</v>
      </c>
      <c r="AH10" s="1">
        <v>7.52</v>
      </c>
      <c r="AL10" s="1">
        <v>36.5</v>
      </c>
      <c r="AO10" s="1">
        <v>96</v>
      </c>
      <c r="AP10" s="1">
        <v>760</v>
      </c>
    </row>
    <row r="12" spans="3:46" x14ac:dyDescent="0.25">
      <c r="D12" s="1" t="s">
        <v>183</v>
      </c>
      <c r="E12" s="1" t="s">
        <v>1</v>
      </c>
      <c r="F12" s="1" t="s">
        <v>85</v>
      </c>
      <c r="G12" s="1" t="s">
        <v>186</v>
      </c>
      <c r="H12" s="1" t="s">
        <v>86</v>
      </c>
      <c r="I12" s="1" t="s">
        <v>187</v>
      </c>
      <c r="K12" s="7" t="s">
        <v>209</v>
      </c>
    </row>
    <row r="14" spans="3:46" x14ac:dyDescent="0.25">
      <c r="D14" s="1" t="s">
        <v>184</v>
      </c>
      <c r="E14" s="1" t="s">
        <v>2</v>
      </c>
      <c r="F14" s="1" t="s">
        <v>86</v>
      </c>
      <c r="G14" s="8" t="s">
        <v>188</v>
      </c>
    </row>
    <row r="15" spans="3:46" x14ac:dyDescent="0.25">
      <c r="G15" s="8"/>
    </row>
    <row r="16" spans="3:46" x14ac:dyDescent="0.25">
      <c r="D16" s="1" t="s">
        <v>185</v>
      </c>
      <c r="E16" s="1" t="s">
        <v>5</v>
      </c>
      <c r="F16" s="1" t="s">
        <v>86</v>
      </c>
      <c r="G16" s="8" t="s">
        <v>189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9BF5-2BC9-4406-9A80-9D4C9A7A3ED4}">
  <dimension ref="B2:M63"/>
  <sheetViews>
    <sheetView topLeftCell="A47" workbookViewId="0">
      <selection activeCell="D70" sqref="D70"/>
    </sheetView>
  </sheetViews>
  <sheetFormatPr defaultRowHeight="15" x14ac:dyDescent="0.25"/>
  <cols>
    <col min="1" max="1" width="2.85546875" customWidth="1"/>
    <col min="2" max="2" width="12.28515625" customWidth="1"/>
    <col min="3" max="8" width="8.5703125" customWidth="1"/>
    <col min="9" max="9" width="2.85546875" customWidth="1"/>
  </cols>
  <sheetData>
    <row r="2" spans="2:8" x14ac:dyDescent="0.25">
      <c r="B2" s="11" t="s">
        <v>214</v>
      </c>
    </row>
    <row r="3" spans="2:8" s="1" customFormat="1" x14ac:dyDescent="0.25">
      <c r="B3" s="64" t="s">
        <v>215</v>
      </c>
      <c r="C3" s="64"/>
      <c r="D3" s="14" t="s">
        <v>260</v>
      </c>
      <c r="E3" s="14"/>
      <c r="F3" s="14"/>
      <c r="G3" s="14"/>
      <c r="H3" s="14"/>
    </row>
    <row r="4" spans="2:8" s="1" customFormat="1" x14ac:dyDescent="0.25">
      <c r="B4" s="64" t="s">
        <v>216</v>
      </c>
      <c r="C4" s="64"/>
      <c r="D4" s="14" t="s">
        <v>261</v>
      </c>
      <c r="E4" s="14"/>
      <c r="F4" s="14"/>
      <c r="G4" s="14"/>
      <c r="H4" s="14"/>
    </row>
    <row r="5" spans="2:8" s="1" customFormat="1" x14ac:dyDescent="0.25">
      <c r="B5" s="64" t="s">
        <v>217</v>
      </c>
      <c r="C5" s="64"/>
      <c r="D5" s="14" t="s">
        <v>218</v>
      </c>
      <c r="E5" s="14"/>
      <c r="F5" s="14"/>
      <c r="G5" s="14"/>
      <c r="H5" s="14"/>
    </row>
    <row r="6" spans="2:8" s="1" customFormat="1" x14ac:dyDescent="0.25">
      <c r="B6" s="64" t="s">
        <v>219</v>
      </c>
      <c r="C6" s="64"/>
      <c r="D6" s="14" t="s">
        <v>263</v>
      </c>
      <c r="E6" s="14"/>
      <c r="F6" s="14"/>
      <c r="G6" s="14"/>
      <c r="H6" s="14"/>
    </row>
    <row r="7" spans="2:8" x14ac:dyDescent="0.25">
      <c r="B7" s="10"/>
      <c r="D7" s="13"/>
      <c r="E7" s="13"/>
      <c r="F7" s="13"/>
      <c r="G7" s="13"/>
      <c r="H7" s="13"/>
    </row>
    <row r="8" spans="2:8" x14ac:dyDescent="0.25">
      <c r="B8" s="11" t="s">
        <v>213</v>
      </c>
      <c r="D8" s="13"/>
      <c r="E8" s="13"/>
      <c r="F8" s="13"/>
      <c r="G8" s="13"/>
      <c r="H8" s="13"/>
    </row>
    <row r="9" spans="2:8" x14ac:dyDescent="0.25">
      <c r="B9" s="66" t="s">
        <v>258</v>
      </c>
      <c r="C9" s="66"/>
      <c r="D9" s="14" t="s">
        <v>259</v>
      </c>
      <c r="E9" s="14"/>
      <c r="F9" s="14"/>
      <c r="G9" s="14"/>
      <c r="H9" s="14"/>
    </row>
    <row r="10" spans="2:8" ht="15" customHeight="1" x14ac:dyDescent="0.25">
      <c r="B10" s="66" t="s">
        <v>220</v>
      </c>
      <c r="C10" s="66"/>
      <c r="D10" s="12" t="s">
        <v>221</v>
      </c>
      <c r="E10" s="12"/>
      <c r="F10" s="12"/>
      <c r="G10" s="12"/>
      <c r="H10" s="12"/>
    </row>
    <row r="11" spans="2:8" ht="15" customHeight="1" x14ac:dyDescent="0.25">
      <c r="B11" s="66" t="s">
        <v>222</v>
      </c>
      <c r="C11" s="66"/>
      <c r="D11" s="12" t="s">
        <v>223</v>
      </c>
      <c r="E11" s="12"/>
      <c r="F11" s="12"/>
      <c r="G11" s="12"/>
      <c r="H11" s="12"/>
    </row>
    <row r="12" spans="2:8" x14ac:dyDescent="0.25">
      <c r="B12" s="10"/>
    </row>
    <row r="13" spans="2:8" x14ac:dyDescent="0.25">
      <c r="B13" s="11" t="s">
        <v>224</v>
      </c>
      <c r="C13" s="30"/>
      <c r="D13" s="30"/>
      <c r="E13" s="30"/>
      <c r="F13" s="30"/>
      <c r="G13" s="30"/>
      <c r="H13" s="30"/>
    </row>
    <row r="14" spans="2:8" x14ac:dyDescent="0.25">
      <c r="B14" s="65"/>
      <c r="C14" s="65"/>
      <c r="D14" s="65"/>
      <c r="E14" s="20" t="s">
        <v>225</v>
      </c>
      <c r="F14" s="65" t="s">
        <v>227</v>
      </c>
      <c r="G14" s="65"/>
      <c r="H14" s="20" t="s">
        <v>228</v>
      </c>
    </row>
    <row r="15" spans="2:8" x14ac:dyDescent="0.25">
      <c r="B15" s="65"/>
      <c r="C15" s="65"/>
      <c r="D15" s="65"/>
      <c r="E15" s="20" t="s">
        <v>226</v>
      </c>
      <c r="F15" s="20" t="s">
        <v>226</v>
      </c>
      <c r="G15" s="20" t="s">
        <v>229</v>
      </c>
      <c r="H15" s="20" t="s">
        <v>229</v>
      </c>
    </row>
    <row r="16" spans="2:8" ht="15" customHeight="1" x14ac:dyDescent="0.25">
      <c r="B16" s="21" t="s">
        <v>230</v>
      </c>
      <c r="C16" s="73" t="s">
        <v>231</v>
      </c>
      <c r="D16" s="74"/>
      <c r="E16" s="74"/>
      <c r="F16" s="74"/>
      <c r="G16" s="74"/>
      <c r="H16" s="75"/>
    </row>
    <row r="17" spans="2:13" x14ac:dyDescent="0.25">
      <c r="B17" s="22" t="s">
        <v>183</v>
      </c>
      <c r="C17" s="20"/>
      <c r="D17" s="20"/>
      <c r="E17" s="20">
        <v>7.2</v>
      </c>
      <c r="F17" s="20">
        <v>7.35</v>
      </c>
      <c r="G17" s="20">
        <v>7.45</v>
      </c>
      <c r="H17" s="20">
        <v>7.6</v>
      </c>
      <c r="J17" s="3"/>
      <c r="K17" s="15"/>
      <c r="L17" s="15"/>
      <c r="M17" s="15"/>
    </row>
    <row r="18" spans="2:13" x14ac:dyDescent="0.25">
      <c r="B18" s="22" t="s">
        <v>232</v>
      </c>
      <c r="C18" s="20"/>
      <c r="D18" s="20" t="s">
        <v>10</v>
      </c>
      <c r="E18" s="20">
        <v>20</v>
      </c>
      <c r="F18" s="20">
        <v>35</v>
      </c>
      <c r="G18" s="20">
        <v>48</v>
      </c>
      <c r="H18" s="20">
        <v>70</v>
      </c>
      <c r="J18" s="16" t="s">
        <v>3</v>
      </c>
      <c r="K18" s="17">
        <v>7.32</v>
      </c>
      <c r="L18" s="17">
        <v>7.43</v>
      </c>
      <c r="M18" s="17"/>
    </row>
    <row r="19" spans="2:13" x14ac:dyDescent="0.25">
      <c r="B19" s="22" t="s">
        <v>233</v>
      </c>
      <c r="C19" s="20"/>
      <c r="D19" s="20" t="s">
        <v>10</v>
      </c>
      <c r="E19" s="20">
        <v>40</v>
      </c>
      <c r="F19" s="20">
        <v>83</v>
      </c>
      <c r="G19" s="20">
        <v>106</v>
      </c>
      <c r="H19" s="20"/>
      <c r="J19" s="3"/>
      <c r="K19" s="15"/>
      <c r="L19" s="15"/>
      <c r="M19" s="15"/>
    </row>
    <row r="20" spans="2:13" ht="18" x14ac:dyDescent="0.25">
      <c r="B20" s="21" t="s">
        <v>190</v>
      </c>
      <c r="C20" s="73" t="s">
        <v>234</v>
      </c>
      <c r="D20" s="74"/>
      <c r="E20" s="74"/>
      <c r="F20" s="74"/>
      <c r="G20" s="74"/>
      <c r="H20" s="75"/>
      <c r="J20" s="16" t="s">
        <v>45</v>
      </c>
      <c r="K20" s="17">
        <v>32</v>
      </c>
      <c r="L20" s="17">
        <v>45</v>
      </c>
      <c r="M20" s="17" t="s">
        <v>10</v>
      </c>
    </row>
    <row r="21" spans="2:13" ht="18" x14ac:dyDescent="0.25">
      <c r="B21" s="22" t="s">
        <v>1</v>
      </c>
      <c r="C21" s="20"/>
      <c r="D21" s="20"/>
      <c r="E21" s="20">
        <v>7.2</v>
      </c>
      <c r="F21" s="20">
        <v>7.35</v>
      </c>
      <c r="G21" s="20">
        <v>7.45</v>
      </c>
      <c r="H21" s="20">
        <v>7.6</v>
      </c>
      <c r="J21" s="3" t="s">
        <v>46</v>
      </c>
      <c r="K21" s="15">
        <v>26</v>
      </c>
      <c r="L21" s="15">
        <v>52</v>
      </c>
      <c r="M21" s="15" t="s">
        <v>10</v>
      </c>
    </row>
    <row r="22" spans="2:13" x14ac:dyDescent="0.25">
      <c r="B22" s="22" t="s">
        <v>235</v>
      </c>
      <c r="C22" s="20"/>
      <c r="D22" s="20" t="s">
        <v>10</v>
      </c>
      <c r="E22" s="20">
        <v>20</v>
      </c>
      <c r="F22" s="20">
        <v>35</v>
      </c>
      <c r="G22" s="20">
        <v>48</v>
      </c>
      <c r="H22" s="20">
        <v>70</v>
      </c>
      <c r="J22" s="16"/>
      <c r="K22" s="17"/>
      <c r="L22" s="17"/>
      <c r="M22" s="17"/>
    </row>
    <row r="23" spans="2:13" x14ac:dyDescent="0.25">
      <c r="B23" s="22" t="s">
        <v>236</v>
      </c>
      <c r="C23" s="20"/>
      <c r="D23" s="20" t="s">
        <v>10</v>
      </c>
      <c r="E23" s="20">
        <v>40</v>
      </c>
      <c r="F23" s="20">
        <v>83</v>
      </c>
      <c r="G23" s="20">
        <v>106</v>
      </c>
      <c r="H23" s="20"/>
      <c r="J23" s="3"/>
      <c r="K23" s="15"/>
      <c r="L23" s="15"/>
      <c r="M23" s="15"/>
    </row>
    <row r="24" spans="2:13" x14ac:dyDescent="0.25">
      <c r="B24" s="22" t="s">
        <v>237</v>
      </c>
      <c r="C24" s="21"/>
      <c r="D24" s="20" t="s">
        <v>11</v>
      </c>
      <c r="E24" s="20">
        <v>120</v>
      </c>
      <c r="F24" s="20">
        <v>136</v>
      </c>
      <c r="G24" s="20">
        <v>145</v>
      </c>
      <c r="H24" s="20">
        <v>160</v>
      </c>
      <c r="J24" s="16"/>
      <c r="K24" s="17"/>
      <c r="L24" s="17"/>
      <c r="M24" s="17"/>
    </row>
    <row r="25" spans="2:13" x14ac:dyDescent="0.25">
      <c r="B25" s="22" t="s">
        <v>238</v>
      </c>
      <c r="C25" s="20"/>
      <c r="D25" s="20" t="s">
        <v>11</v>
      </c>
      <c r="E25" s="20">
        <v>2.8</v>
      </c>
      <c r="F25" s="20">
        <v>3.5</v>
      </c>
      <c r="G25" s="20">
        <v>5.0999999999999996</v>
      </c>
      <c r="H25" s="20">
        <v>7.8</v>
      </c>
      <c r="J25" s="3"/>
      <c r="K25" s="15"/>
      <c r="L25" s="15"/>
      <c r="M25" s="15"/>
    </row>
    <row r="26" spans="2:13" x14ac:dyDescent="0.25">
      <c r="B26" s="22" t="s">
        <v>239</v>
      </c>
      <c r="C26" s="20"/>
      <c r="D26" s="20" t="s">
        <v>11</v>
      </c>
      <c r="E26" s="20">
        <v>80</v>
      </c>
      <c r="F26" s="20">
        <v>98</v>
      </c>
      <c r="G26" s="20">
        <v>107</v>
      </c>
      <c r="H26" s="20">
        <v>120</v>
      </c>
      <c r="J26" s="16"/>
      <c r="K26" s="17"/>
      <c r="L26" s="17"/>
      <c r="M26" s="17"/>
    </row>
    <row r="27" spans="2:13" x14ac:dyDescent="0.25">
      <c r="B27" s="22" t="s">
        <v>6</v>
      </c>
      <c r="C27" s="20"/>
      <c r="D27" s="20" t="s">
        <v>11</v>
      </c>
      <c r="E27" s="20">
        <v>0.75</v>
      </c>
      <c r="F27" s="20">
        <v>1.1499999999999999</v>
      </c>
      <c r="G27" s="20">
        <v>1.33</v>
      </c>
      <c r="H27" s="31">
        <v>1.6</v>
      </c>
      <c r="J27" s="3"/>
      <c r="K27" s="15"/>
      <c r="L27" s="15"/>
      <c r="M27" s="15"/>
    </row>
    <row r="28" spans="2:13" x14ac:dyDescent="0.25">
      <c r="B28" s="22" t="s">
        <v>13</v>
      </c>
      <c r="C28" s="20"/>
      <c r="D28" s="20" t="s">
        <v>15</v>
      </c>
      <c r="E28" s="20">
        <v>40</v>
      </c>
      <c r="F28" s="20">
        <v>65</v>
      </c>
      <c r="G28" s="20">
        <v>95</v>
      </c>
      <c r="H28" s="20">
        <v>450</v>
      </c>
      <c r="J28" s="16" t="s">
        <v>8</v>
      </c>
      <c r="K28" s="17">
        <v>37</v>
      </c>
      <c r="L28" s="17">
        <v>47</v>
      </c>
      <c r="M28" s="17" t="s">
        <v>12</v>
      </c>
    </row>
    <row r="29" spans="2:13" x14ac:dyDescent="0.25">
      <c r="B29" s="22" t="s">
        <v>16</v>
      </c>
      <c r="C29" s="20"/>
      <c r="D29" s="20" t="s">
        <v>11</v>
      </c>
      <c r="E29" s="20"/>
      <c r="F29" s="20">
        <v>0.36</v>
      </c>
      <c r="G29" s="20">
        <v>0.75</v>
      </c>
      <c r="H29" s="20">
        <v>3.4</v>
      </c>
      <c r="J29" s="3"/>
      <c r="K29" s="15"/>
      <c r="L29" s="15"/>
      <c r="M29" s="15"/>
    </row>
    <row r="30" spans="2:13" x14ac:dyDescent="0.25">
      <c r="B30" s="32" t="s">
        <v>126</v>
      </c>
      <c r="C30" s="33"/>
      <c r="D30" s="33" t="s">
        <v>12</v>
      </c>
      <c r="E30" s="33"/>
      <c r="F30" s="33">
        <v>40</v>
      </c>
      <c r="G30" s="33">
        <v>50</v>
      </c>
      <c r="H30" s="33"/>
      <c r="J30" s="3"/>
      <c r="K30" s="15"/>
      <c r="L30" s="15"/>
      <c r="M30" s="15"/>
    </row>
    <row r="31" spans="2:13" x14ac:dyDescent="0.25">
      <c r="B31" s="21" t="s">
        <v>196</v>
      </c>
      <c r="C31" s="76"/>
      <c r="D31" s="77"/>
      <c r="E31" s="77"/>
      <c r="F31" s="77"/>
      <c r="G31" s="77"/>
      <c r="H31" s="78"/>
    </row>
    <row r="32" spans="2:13" x14ac:dyDescent="0.25">
      <c r="B32" s="22" t="s">
        <v>18</v>
      </c>
      <c r="C32" s="20"/>
      <c r="D32" s="20" t="s">
        <v>19</v>
      </c>
      <c r="E32" s="20">
        <v>7</v>
      </c>
      <c r="F32" s="20">
        <v>12.6</v>
      </c>
      <c r="G32" s="20">
        <v>17.399999999999999</v>
      </c>
      <c r="H32" s="20">
        <v>20</v>
      </c>
    </row>
    <row r="33" spans="2:13" x14ac:dyDescent="0.25">
      <c r="B33" s="22" t="s">
        <v>264</v>
      </c>
      <c r="C33" s="20"/>
      <c r="D33" s="20" t="s">
        <v>12</v>
      </c>
      <c r="E33" s="20"/>
      <c r="F33" s="20">
        <v>90</v>
      </c>
      <c r="G33" s="20">
        <v>95</v>
      </c>
      <c r="H33" s="20"/>
    </row>
    <row r="34" spans="2:13" x14ac:dyDescent="0.25">
      <c r="B34" s="22" t="s">
        <v>23</v>
      </c>
      <c r="C34" s="20"/>
      <c r="D34" s="20" t="s">
        <v>12</v>
      </c>
      <c r="E34" s="20"/>
      <c r="F34" s="20"/>
      <c r="G34" s="20">
        <v>10</v>
      </c>
      <c r="H34" s="20"/>
    </row>
    <row r="35" spans="2:13" x14ac:dyDescent="0.25">
      <c r="B35" s="22" t="s">
        <v>24</v>
      </c>
      <c r="C35" s="20"/>
      <c r="D35" s="20" t="s">
        <v>12</v>
      </c>
      <c r="E35" s="20"/>
      <c r="F35" s="20"/>
      <c r="G35" s="20">
        <v>1.5</v>
      </c>
      <c r="H35" s="20"/>
    </row>
    <row r="36" spans="2:13" x14ac:dyDescent="0.25">
      <c r="B36" s="22" t="s">
        <v>25</v>
      </c>
      <c r="C36" s="20"/>
      <c r="D36" s="20" t="s">
        <v>12</v>
      </c>
      <c r="E36" s="20"/>
      <c r="F36" s="20">
        <v>1</v>
      </c>
      <c r="G36" s="20">
        <v>5</v>
      </c>
      <c r="H36" s="20"/>
    </row>
    <row r="37" spans="2:13" x14ac:dyDescent="0.25">
      <c r="B37" s="22" t="s">
        <v>265</v>
      </c>
      <c r="C37" s="20"/>
      <c r="D37" s="20" t="s">
        <v>12</v>
      </c>
      <c r="E37" s="20"/>
      <c r="F37" s="20">
        <v>94</v>
      </c>
      <c r="G37" s="20">
        <v>98</v>
      </c>
      <c r="H37" s="20"/>
      <c r="J37" s="3" t="s">
        <v>17</v>
      </c>
      <c r="K37" s="15">
        <v>0.56000000000000005</v>
      </c>
      <c r="L37" s="15">
        <v>1.39</v>
      </c>
      <c r="M37" s="15" t="s">
        <v>11</v>
      </c>
    </row>
    <row r="38" spans="2:13" x14ac:dyDescent="0.25">
      <c r="B38" s="35" t="s">
        <v>201</v>
      </c>
      <c r="C38" s="67"/>
      <c r="D38" s="68"/>
      <c r="E38" s="68"/>
      <c r="F38" s="68"/>
      <c r="G38" s="68"/>
      <c r="H38" s="69"/>
      <c r="J38" s="16"/>
      <c r="K38" s="17"/>
      <c r="L38" s="17"/>
      <c r="M38" s="17"/>
    </row>
    <row r="39" spans="2:13" x14ac:dyDescent="0.25">
      <c r="B39" s="22" t="s">
        <v>242</v>
      </c>
      <c r="C39" s="20"/>
      <c r="D39" s="20" t="s">
        <v>11</v>
      </c>
      <c r="E39" s="20"/>
      <c r="F39" s="20">
        <v>19</v>
      </c>
      <c r="G39" s="20">
        <v>24</v>
      </c>
      <c r="H39" s="20"/>
      <c r="J39" s="3" t="s">
        <v>21</v>
      </c>
      <c r="K39" s="15">
        <v>11.7</v>
      </c>
      <c r="L39" s="15">
        <v>16.100000000000001</v>
      </c>
      <c r="M39" s="15" t="s">
        <v>19</v>
      </c>
    </row>
    <row r="40" spans="2:13" x14ac:dyDescent="0.25">
      <c r="B40" s="22" t="s">
        <v>197</v>
      </c>
      <c r="C40" s="20"/>
      <c r="D40" s="20" t="s">
        <v>11</v>
      </c>
      <c r="E40" s="20"/>
      <c r="F40" s="20"/>
      <c r="G40" s="20"/>
      <c r="H40" s="20"/>
      <c r="J40" s="16"/>
      <c r="K40" s="17"/>
      <c r="L40" s="17"/>
      <c r="M40" s="17"/>
    </row>
    <row r="41" spans="2:13" x14ac:dyDescent="0.25">
      <c r="B41" s="22" t="s">
        <v>88</v>
      </c>
      <c r="C41" s="20"/>
      <c r="D41" s="20" t="s">
        <v>11</v>
      </c>
      <c r="E41" s="20"/>
      <c r="F41" s="20">
        <v>-2</v>
      </c>
      <c r="G41" s="20">
        <v>3</v>
      </c>
      <c r="H41" s="20"/>
      <c r="J41" s="3"/>
      <c r="K41" s="15"/>
      <c r="L41" s="15"/>
      <c r="M41" s="15"/>
    </row>
    <row r="42" spans="2:13" x14ac:dyDescent="0.25">
      <c r="B42" s="22" t="s">
        <v>243</v>
      </c>
      <c r="C42" s="20"/>
      <c r="D42" s="20" t="s">
        <v>11</v>
      </c>
      <c r="E42" s="20"/>
      <c r="F42" s="20"/>
      <c r="G42" s="20"/>
      <c r="H42" s="20"/>
      <c r="J42" s="16" t="s">
        <v>31</v>
      </c>
      <c r="K42" s="17"/>
      <c r="L42" s="17">
        <v>10</v>
      </c>
      <c r="M42" s="17" t="s">
        <v>12</v>
      </c>
    </row>
    <row r="43" spans="2:13" x14ac:dyDescent="0.25">
      <c r="B43" s="22" t="s">
        <v>205</v>
      </c>
      <c r="C43" s="20"/>
      <c r="D43" s="20" t="s">
        <v>11</v>
      </c>
      <c r="E43" s="20"/>
      <c r="F43" s="20">
        <v>10</v>
      </c>
      <c r="G43" s="20">
        <v>20</v>
      </c>
      <c r="H43" s="20"/>
      <c r="J43" s="3"/>
      <c r="K43" s="15"/>
      <c r="L43" s="15"/>
      <c r="M43" s="15"/>
    </row>
    <row r="44" spans="2:13" x14ac:dyDescent="0.25">
      <c r="B44" s="22" t="s">
        <v>132</v>
      </c>
      <c r="C44" s="20"/>
      <c r="D44" s="20" t="s">
        <v>10</v>
      </c>
      <c r="E44" s="20"/>
      <c r="F44" s="20"/>
      <c r="G44" s="20"/>
      <c r="H44" s="20"/>
      <c r="J44" s="16"/>
      <c r="K44" s="17"/>
      <c r="L44" s="17"/>
      <c r="M44" s="17"/>
    </row>
    <row r="45" spans="2:13" x14ac:dyDescent="0.25">
      <c r="B45" s="22" t="s">
        <v>244</v>
      </c>
      <c r="C45" s="20"/>
      <c r="D45" s="20" t="s">
        <v>10</v>
      </c>
      <c r="E45" s="20"/>
      <c r="F45" s="20"/>
      <c r="G45" s="20"/>
      <c r="H45" s="20"/>
      <c r="J45" s="3"/>
      <c r="K45" s="15"/>
      <c r="L45" s="15"/>
      <c r="M45" s="15"/>
    </row>
    <row r="46" spans="2:13" x14ac:dyDescent="0.25">
      <c r="B46" s="22" t="s">
        <v>266</v>
      </c>
      <c r="C46" s="20"/>
      <c r="D46" s="20" t="s">
        <v>10</v>
      </c>
      <c r="E46" s="20"/>
      <c r="F46" s="20"/>
      <c r="G46" s="20"/>
      <c r="H46" s="20"/>
      <c r="J46" s="16"/>
      <c r="K46" s="17"/>
      <c r="L46" s="17"/>
      <c r="M46" s="17"/>
    </row>
    <row r="47" spans="2:13" ht="18" x14ac:dyDescent="0.25">
      <c r="B47" s="22" t="s">
        <v>267</v>
      </c>
      <c r="C47" s="20"/>
      <c r="D47" s="20" t="s">
        <v>202</v>
      </c>
      <c r="E47" s="20"/>
      <c r="F47" s="20"/>
      <c r="G47" s="20"/>
      <c r="H47" s="20"/>
      <c r="J47" s="3" t="s">
        <v>55</v>
      </c>
      <c r="K47" s="15">
        <v>22</v>
      </c>
      <c r="L47" s="15">
        <v>26</v>
      </c>
      <c r="M47" s="15" t="s">
        <v>11</v>
      </c>
    </row>
    <row r="48" spans="2:13" x14ac:dyDescent="0.25">
      <c r="B48" s="22" t="s">
        <v>268</v>
      </c>
      <c r="C48" s="20"/>
      <c r="D48" s="20" t="s">
        <v>248</v>
      </c>
      <c r="E48" s="20"/>
      <c r="F48" s="20"/>
      <c r="G48" s="20"/>
      <c r="H48" s="20"/>
      <c r="J48" s="16"/>
      <c r="K48" s="17"/>
      <c r="L48" s="17"/>
      <c r="M48" s="17"/>
    </row>
    <row r="49" spans="2:13" x14ac:dyDescent="0.25">
      <c r="B49" s="22" t="s">
        <v>269</v>
      </c>
      <c r="C49" s="20"/>
      <c r="D49" s="20" t="s">
        <v>12</v>
      </c>
      <c r="E49" s="20"/>
      <c r="F49" s="20"/>
      <c r="G49" s="20"/>
      <c r="H49" s="20"/>
      <c r="J49" s="3"/>
      <c r="K49" s="15"/>
      <c r="L49" s="15"/>
      <c r="M49" s="15"/>
    </row>
    <row r="50" spans="2:13" ht="18" x14ac:dyDescent="0.25">
      <c r="B50" s="22" t="s">
        <v>270</v>
      </c>
      <c r="C50" s="20"/>
      <c r="D50" s="20" t="s">
        <v>11</v>
      </c>
      <c r="E50" s="20">
        <v>10</v>
      </c>
      <c r="F50" s="20">
        <v>21</v>
      </c>
      <c r="G50" s="20">
        <v>28</v>
      </c>
      <c r="H50" s="20">
        <v>40</v>
      </c>
      <c r="J50" s="16" t="s">
        <v>57</v>
      </c>
      <c r="K50" s="17">
        <v>22</v>
      </c>
      <c r="L50" s="17">
        <v>29</v>
      </c>
      <c r="M50" s="17" t="s">
        <v>11</v>
      </c>
    </row>
    <row r="51" spans="2:13" x14ac:dyDescent="0.25">
      <c r="B51" s="22" t="s">
        <v>271</v>
      </c>
      <c r="C51" s="20"/>
      <c r="D51" s="20" t="s">
        <v>11</v>
      </c>
      <c r="E51" s="20"/>
      <c r="F51" s="20"/>
      <c r="G51" s="20"/>
      <c r="H51" s="20"/>
    </row>
    <row r="52" spans="2:13" x14ac:dyDescent="0.25">
      <c r="B52" s="22" t="s">
        <v>272</v>
      </c>
      <c r="C52" s="20"/>
      <c r="D52" s="20" t="s">
        <v>10</v>
      </c>
      <c r="E52" s="20"/>
      <c r="F52" s="20"/>
      <c r="G52" s="20"/>
      <c r="H52" s="20"/>
    </row>
    <row r="53" spans="2:13" x14ac:dyDescent="0.25">
      <c r="B53" s="22" t="s">
        <v>273</v>
      </c>
      <c r="C53" s="20"/>
      <c r="D53" s="20"/>
      <c r="E53" s="20"/>
      <c r="F53" s="20"/>
      <c r="G53" s="20"/>
      <c r="H53" s="20"/>
    </row>
    <row r="54" spans="2:13" x14ac:dyDescent="0.25">
      <c r="B54" s="22" t="s">
        <v>161</v>
      </c>
      <c r="C54" s="20"/>
      <c r="D54" s="20"/>
      <c r="E54" s="20"/>
      <c r="F54" s="20"/>
      <c r="G54" s="20"/>
      <c r="H54" s="20"/>
    </row>
    <row r="55" spans="2:13" x14ac:dyDescent="0.25">
      <c r="B55" s="22" t="s">
        <v>274</v>
      </c>
      <c r="C55" s="20"/>
      <c r="D55" s="20" t="s">
        <v>202</v>
      </c>
      <c r="E55" s="20"/>
      <c r="F55" s="20"/>
      <c r="G55" s="20"/>
      <c r="H55" s="20"/>
    </row>
    <row r="56" spans="2:13" x14ac:dyDescent="0.25">
      <c r="B56" s="22" t="s">
        <v>173</v>
      </c>
      <c r="C56" s="20"/>
      <c r="D56" s="20" t="s">
        <v>12</v>
      </c>
      <c r="E56" s="20"/>
      <c r="F56" s="20"/>
      <c r="G56" s="20"/>
      <c r="H56" s="20"/>
    </row>
    <row r="57" spans="2:13" x14ac:dyDescent="0.25">
      <c r="B57" s="22" t="s">
        <v>176</v>
      </c>
      <c r="C57" s="20"/>
      <c r="D57" s="20" t="s">
        <v>12</v>
      </c>
      <c r="E57" s="20"/>
      <c r="F57" s="20"/>
      <c r="G57" s="20"/>
      <c r="H57" s="20"/>
    </row>
    <row r="58" spans="2:13" x14ac:dyDescent="0.25">
      <c r="B58" s="34" t="s">
        <v>255</v>
      </c>
      <c r="C58" s="70"/>
      <c r="D58" s="71"/>
      <c r="E58" s="71"/>
      <c r="F58" s="71"/>
      <c r="G58" s="71"/>
      <c r="H58" s="72"/>
    </row>
    <row r="59" spans="2:13" x14ac:dyDescent="0.25">
      <c r="B59" s="22" t="s">
        <v>203</v>
      </c>
      <c r="C59" s="21"/>
      <c r="D59" s="29" t="s">
        <v>256</v>
      </c>
      <c r="E59" s="20"/>
      <c r="F59" s="20"/>
      <c r="G59" s="20"/>
      <c r="H59" s="20"/>
    </row>
    <row r="60" spans="2:13" x14ac:dyDescent="0.25">
      <c r="B60" s="22" t="s">
        <v>257</v>
      </c>
      <c r="C60" s="20"/>
      <c r="D60" s="20" t="s">
        <v>12</v>
      </c>
      <c r="E60" s="20"/>
      <c r="F60" s="20"/>
      <c r="G60" s="20"/>
      <c r="H60" s="20"/>
    </row>
    <row r="61" spans="2:13" x14ac:dyDescent="0.25">
      <c r="B61" s="22" t="s">
        <v>204</v>
      </c>
      <c r="C61" s="20"/>
      <c r="D61" s="20" t="s">
        <v>10</v>
      </c>
      <c r="E61" s="20"/>
      <c r="F61" s="20"/>
      <c r="G61" s="20"/>
      <c r="H61" s="20"/>
    </row>
    <row r="62" spans="2:13" x14ac:dyDescent="0.25">
      <c r="B62" s="10"/>
    </row>
    <row r="63" spans="2:13" x14ac:dyDescent="0.25">
      <c r="B63" s="10"/>
    </row>
  </sheetData>
  <mergeCells count="14">
    <mergeCell ref="C38:H38"/>
    <mergeCell ref="C58:H58"/>
    <mergeCell ref="C16:H16"/>
    <mergeCell ref="C20:H20"/>
    <mergeCell ref="C31:H31"/>
    <mergeCell ref="B3:C3"/>
    <mergeCell ref="B14:D15"/>
    <mergeCell ref="F14:G14"/>
    <mergeCell ref="B9:C9"/>
    <mergeCell ref="B10:C10"/>
    <mergeCell ref="B11:C11"/>
    <mergeCell ref="B4:C4"/>
    <mergeCell ref="B5:C5"/>
    <mergeCell ref="B6:C6"/>
  </mergeCells>
  <pageMargins left="0.39370078740157483" right="0.39370078740157483" top="0.74803149606299213" bottom="0.74803149606299213" header="0.31496062992125984" footer="0.31496062992125984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A04B-255D-44B5-8470-56EDB9DF3B76}">
  <dimension ref="B2:M64"/>
  <sheetViews>
    <sheetView topLeftCell="A25" workbookViewId="0">
      <selection activeCell="O44" sqref="O44"/>
    </sheetView>
  </sheetViews>
  <sheetFormatPr defaultRowHeight="15" x14ac:dyDescent="0.25"/>
  <cols>
    <col min="1" max="1" width="2.85546875" customWidth="1"/>
    <col min="2" max="2" width="14.28515625" customWidth="1"/>
    <col min="3" max="8" width="8.5703125" customWidth="1"/>
    <col min="9" max="9" width="2.85546875" customWidth="1"/>
  </cols>
  <sheetData>
    <row r="2" spans="2:8" x14ac:dyDescent="0.25">
      <c r="B2" s="11" t="s">
        <v>214</v>
      </c>
    </row>
    <row r="3" spans="2:8" s="1" customFormat="1" x14ac:dyDescent="0.25">
      <c r="B3" s="64" t="s">
        <v>215</v>
      </c>
      <c r="C3" s="64"/>
      <c r="D3" s="64" t="s">
        <v>260</v>
      </c>
      <c r="E3" s="64"/>
      <c r="F3" s="64"/>
      <c r="G3" s="64"/>
      <c r="H3" s="64"/>
    </row>
    <row r="4" spans="2:8" s="1" customFormat="1" x14ac:dyDescent="0.25">
      <c r="B4" s="64" t="s">
        <v>216</v>
      </c>
      <c r="C4" s="64"/>
      <c r="D4" s="64" t="s">
        <v>261</v>
      </c>
      <c r="E4" s="64"/>
      <c r="F4" s="64"/>
      <c r="G4" s="64"/>
      <c r="H4" s="64"/>
    </row>
    <row r="5" spans="2:8" s="1" customFormat="1" x14ac:dyDescent="0.25">
      <c r="B5" s="64" t="s">
        <v>217</v>
      </c>
      <c r="C5" s="64"/>
      <c r="D5" s="64" t="s">
        <v>218</v>
      </c>
      <c r="E5" s="64"/>
      <c r="F5" s="64"/>
      <c r="G5" s="64"/>
      <c r="H5" s="64"/>
    </row>
    <row r="6" spans="2:8" s="1" customFormat="1" x14ac:dyDescent="0.25">
      <c r="B6" s="64" t="s">
        <v>219</v>
      </c>
      <c r="C6" s="64"/>
      <c r="D6" s="64" t="s">
        <v>263</v>
      </c>
      <c r="E6" s="64"/>
      <c r="F6" s="64"/>
      <c r="G6" s="64"/>
      <c r="H6" s="64"/>
    </row>
    <row r="7" spans="2:8" x14ac:dyDescent="0.25">
      <c r="B7" s="10"/>
      <c r="D7" s="13"/>
      <c r="E7" s="13"/>
      <c r="F7" s="13"/>
      <c r="G7" s="13"/>
      <c r="H7" s="13"/>
    </row>
    <row r="8" spans="2:8" x14ac:dyDescent="0.25">
      <c r="B8" s="11" t="s">
        <v>213</v>
      </c>
      <c r="D8" s="13"/>
      <c r="E8" s="13"/>
      <c r="F8" s="13"/>
      <c r="G8" s="13"/>
      <c r="H8" s="13"/>
    </row>
    <row r="9" spans="2:8" x14ac:dyDescent="0.25">
      <c r="B9" s="66" t="s">
        <v>258</v>
      </c>
      <c r="C9" s="66"/>
      <c r="D9" s="64" t="s">
        <v>259</v>
      </c>
      <c r="E9" s="64"/>
      <c r="F9" s="64"/>
      <c r="G9" s="64"/>
      <c r="H9" s="64"/>
    </row>
    <row r="10" spans="2:8" ht="15" customHeight="1" x14ac:dyDescent="0.25">
      <c r="B10" s="66" t="s">
        <v>220</v>
      </c>
      <c r="C10" s="66"/>
      <c r="D10" s="66" t="s">
        <v>221</v>
      </c>
      <c r="E10" s="66"/>
      <c r="F10" s="66"/>
      <c r="G10" s="66"/>
      <c r="H10" s="66"/>
    </row>
    <row r="11" spans="2:8" ht="15" customHeight="1" x14ac:dyDescent="0.25">
      <c r="B11" s="66" t="s">
        <v>222</v>
      </c>
      <c r="C11" s="66"/>
      <c r="D11" s="66" t="s">
        <v>223</v>
      </c>
      <c r="E11" s="66"/>
      <c r="F11" s="66"/>
      <c r="G11" s="66"/>
      <c r="H11" s="66"/>
    </row>
    <row r="12" spans="2:8" x14ac:dyDescent="0.25">
      <c r="B12" s="10"/>
    </row>
    <row r="13" spans="2:8" x14ac:dyDescent="0.25">
      <c r="B13" s="11" t="s">
        <v>224</v>
      </c>
    </row>
    <row r="14" spans="2:8" x14ac:dyDescent="0.25">
      <c r="B14" s="65"/>
      <c r="C14" s="65"/>
      <c r="D14" s="65"/>
      <c r="E14" s="20" t="s">
        <v>225</v>
      </c>
      <c r="F14" s="65" t="s">
        <v>227</v>
      </c>
      <c r="G14" s="65"/>
      <c r="H14" s="20" t="s">
        <v>228</v>
      </c>
    </row>
    <row r="15" spans="2:8" x14ac:dyDescent="0.25">
      <c r="B15" s="65"/>
      <c r="C15" s="65"/>
      <c r="D15" s="65"/>
      <c r="E15" s="20" t="s">
        <v>226</v>
      </c>
      <c r="F15" s="20" t="s">
        <v>226</v>
      </c>
      <c r="G15" s="20" t="s">
        <v>229</v>
      </c>
      <c r="H15" s="20" t="s">
        <v>229</v>
      </c>
    </row>
    <row r="16" spans="2:8" ht="15" customHeight="1" x14ac:dyDescent="0.25">
      <c r="B16" s="21" t="s">
        <v>230</v>
      </c>
      <c r="C16" s="21" t="s">
        <v>231</v>
      </c>
      <c r="D16" s="20"/>
      <c r="E16" s="20"/>
      <c r="F16" s="20"/>
      <c r="G16" s="20"/>
      <c r="H16" s="20"/>
    </row>
    <row r="17" spans="2:13" x14ac:dyDescent="0.25">
      <c r="B17" s="22" t="s">
        <v>183</v>
      </c>
      <c r="C17" s="20"/>
      <c r="D17" s="20"/>
      <c r="E17" s="20">
        <v>7.2</v>
      </c>
      <c r="F17" s="20">
        <v>7.35</v>
      </c>
      <c r="G17" s="20">
        <v>7.45</v>
      </c>
      <c r="H17" s="20">
        <v>7.6</v>
      </c>
      <c r="J17" s="3"/>
      <c r="K17" s="15"/>
      <c r="L17" s="15"/>
      <c r="M17" s="15"/>
    </row>
    <row r="18" spans="2:13" x14ac:dyDescent="0.25">
      <c r="B18" s="22" t="s">
        <v>232</v>
      </c>
      <c r="C18" s="20"/>
      <c r="D18" s="20" t="s">
        <v>10</v>
      </c>
      <c r="E18" s="20">
        <v>20</v>
      </c>
      <c r="F18" s="20">
        <v>35</v>
      </c>
      <c r="G18" s="20">
        <v>48</v>
      </c>
      <c r="H18" s="20">
        <v>70</v>
      </c>
      <c r="J18" s="16" t="s">
        <v>3</v>
      </c>
      <c r="K18" s="17">
        <v>7.32</v>
      </c>
      <c r="L18" s="17">
        <v>7.43</v>
      </c>
      <c r="M18" s="17"/>
    </row>
    <row r="19" spans="2:13" x14ac:dyDescent="0.25">
      <c r="B19" s="22" t="s">
        <v>233</v>
      </c>
      <c r="C19" s="20"/>
      <c r="D19" s="20" t="s">
        <v>10</v>
      </c>
      <c r="E19" s="20">
        <v>40</v>
      </c>
      <c r="F19" s="20">
        <v>83</v>
      </c>
      <c r="G19" s="20">
        <v>106</v>
      </c>
      <c r="H19" s="20"/>
      <c r="J19" s="3"/>
      <c r="K19" s="15"/>
      <c r="L19" s="15"/>
      <c r="M19" s="15"/>
    </row>
    <row r="20" spans="2:13" ht="18" x14ac:dyDescent="0.25">
      <c r="B20" s="21" t="s">
        <v>190</v>
      </c>
      <c r="C20" s="21" t="s">
        <v>234</v>
      </c>
      <c r="D20" s="20"/>
      <c r="E20" s="20"/>
      <c r="F20" s="20"/>
      <c r="G20" s="20"/>
      <c r="H20" s="20"/>
      <c r="J20" s="16" t="s">
        <v>45</v>
      </c>
      <c r="K20" s="17">
        <v>32</v>
      </c>
      <c r="L20" s="17">
        <v>45</v>
      </c>
      <c r="M20" s="17" t="s">
        <v>10</v>
      </c>
    </row>
    <row r="21" spans="2:13" ht="18" x14ac:dyDescent="0.25">
      <c r="B21" s="22" t="s">
        <v>1</v>
      </c>
      <c r="C21" s="20"/>
      <c r="D21" s="20"/>
      <c r="E21" s="20">
        <v>7.2</v>
      </c>
      <c r="F21" s="20">
        <v>7.35</v>
      </c>
      <c r="G21" s="20">
        <v>7.45</v>
      </c>
      <c r="H21" s="20">
        <v>7.6</v>
      </c>
      <c r="J21" s="3" t="s">
        <v>46</v>
      </c>
      <c r="K21" s="15">
        <v>26</v>
      </c>
      <c r="L21" s="15">
        <v>52</v>
      </c>
      <c r="M21" s="15" t="s">
        <v>10</v>
      </c>
    </row>
    <row r="22" spans="2:13" x14ac:dyDescent="0.25">
      <c r="B22" s="22" t="s">
        <v>235</v>
      </c>
      <c r="C22" s="20"/>
      <c r="D22" s="20" t="s">
        <v>10</v>
      </c>
      <c r="E22" s="20">
        <v>20</v>
      </c>
      <c r="F22" s="20">
        <v>35</v>
      </c>
      <c r="G22" s="20">
        <v>48</v>
      </c>
      <c r="H22" s="20">
        <v>70</v>
      </c>
      <c r="J22" s="16"/>
      <c r="K22" s="17"/>
      <c r="L22" s="17"/>
      <c r="M22" s="17"/>
    </row>
    <row r="23" spans="2:13" x14ac:dyDescent="0.25">
      <c r="B23" s="22" t="s">
        <v>236</v>
      </c>
      <c r="C23" s="20"/>
      <c r="D23" s="20" t="s">
        <v>10</v>
      </c>
      <c r="E23" s="20">
        <v>40</v>
      </c>
      <c r="F23" s="20">
        <v>83</v>
      </c>
      <c r="G23" s="20">
        <v>106</v>
      </c>
      <c r="H23" s="20"/>
      <c r="J23" s="3"/>
      <c r="K23" s="15"/>
      <c r="L23" s="15"/>
      <c r="M23" s="15"/>
    </row>
    <row r="24" spans="2:13" x14ac:dyDescent="0.25">
      <c r="B24" s="22" t="s">
        <v>237</v>
      </c>
      <c r="C24" s="21"/>
      <c r="D24" s="20" t="s">
        <v>11</v>
      </c>
      <c r="E24" s="20">
        <v>120</v>
      </c>
      <c r="F24" s="20">
        <v>136</v>
      </c>
      <c r="G24" s="20">
        <v>145</v>
      </c>
      <c r="H24" s="20">
        <v>160</v>
      </c>
      <c r="J24" s="16"/>
      <c r="K24" s="17"/>
      <c r="L24" s="17"/>
      <c r="M24" s="17"/>
    </row>
    <row r="25" spans="2:13" x14ac:dyDescent="0.25">
      <c r="B25" s="22" t="s">
        <v>238</v>
      </c>
      <c r="C25" s="20"/>
      <c r="D25" s="20" t="s">
        <v>11</v>
      </c>
      <c r="E25" s="20">
        <v>2.8</v>
      </c>
      <c r="F25" s="20">
        <v>3.5</v>
      </c>
      <c r="G25" s="20">
        <v>5.0999999999999996</v>
      </c>
      <c r="H25" s="20">
        <v>7.8</v>
      </c>
      <c r="J25" s="3"/>
      <c r="K25" s="15"/>
      <c r="L25" s="15"/>
      <c r="M25" s="15"/>
    </row>
    <row r="26" spans="2:13" x14ac:dyDescent="0.25">
      <c r="B26" s="18" t="s">
        <v>239</v>
      </c>
      <c r="C26" s="19"/>
      <c r="D26" s="19" t="s">
        <v>11</v>
      </c>
      <c r="E26" s="19">
        <v>80</v>
      </c>
      <c r="F26" s="19">
        <v>98</v>
      </c>
      <c r="G26" s="19">
        <v>107</v>
      </c>
      <c r="H26" s="19">
        <v>120</v>
      </c>
      <c r="J26" s="16"/>
      <c r="K26" s="17"/>
      <c r="L26" s="17"/>
      <c r="M26" s="17"/>
    </row>
    <row r="27" spans="2:13" x14ac:dyDescent="0.25">
      <c r="B27" s="18" t="s">
        <v>6</v>
      </c>
      <c r="C27" s="19"/>
      <c r="D27" s="19" t="s">
        <v>11</v>
      </c>
      <c r="E27" s="19">
        <v>0.75</v>
      </c>
      <c r="F27" s="19">
        <v>1.1499999999999999</v>
      </c>
      <c r="G27" s="19">
        <v>1.33</v>
      </c>
      <c r="H27" s="23">
        <v>1.6</v>
      </c>
      <c r="J27" s="3"/>
      <c r="K27" s="15"/>
      <c r="L27" s="15"/>
      <c r="M27" s="15"/>
    </row>
    <row r="28" spans="2:13" x14ac:dyDescent="0.25">
      <c r="B28" s="18" t="s">
        <v>13</v>
      </c>
      <c r="C28" s="19"/>
      <c r="D28" s="19" t="s">
        <v>15</v>
      </c>
      <c r="E28" s="19">
        <v>40</v>
      </c>
      <c r="F28" s="19">
        <v>65</v>
      </c>
      <c r="G28" s="19">
        <v>95</v>
      </c>
      <c r="H28" s="19">
        <v>450</v>
      </c>
      <c r="J28" s="16" t="s">
        <v>8</v>
      </c>
      <c r="K28" s="17">
        <v>37</v>
      </c>
      <c r="L28" s="17">
        <v>47</v>
      </c>
      <c r="M28" s="17" t="s">
        <v>12</v>
      </c>
    </row>
    <row r="29" spans="2:13" x14ac:dyDescent="0.25">
      <c r="B29" s="18" t="s">
        <v>16</v>
      </c>
      <c r="C29" s="19"/>
      <c r="D29" s="19" t="s">
        <v>11</v>
      </c>
      <c r="E29" s="19"/>
      <c r="F29" s="19">
        <v>0.36</v>
      </c>
      <c r="G29" s="19">
        <v>0.75</v>
      </c>
      <c r="H29" s="19">
        <v>3.4</v>
      </c>
      <c r="J29" s="3"/>
      <c r="K29" s="15"/>
      <c r="L29" s="15"/>
      <c r="M29" s="15"/>
    </row>
    <row r="30" spans="2:13" x14ac:dyDescent="0.25">
      <c r="B30" s="24" t="s">
        <v>126</v>
      </c>
      <c r="C30" s="25"/>
      <c r="D30" s="25" t="s">
        <v>12</v>
      </c>
      <c r="E30" s="25"/>
      <c r="F30" s="25">
        <v>40</v>
      </c>
      <c r="G30" s="25">
        <v>50</v>
      </c>
      <c r="H30" s="25"/>
      <c r="J30" s="3"/>
      <c r="K30" s="15"/>
      <c r="L30" s="15"/>
      <c r="M30" s="15"/>
    </row>
    <row r="31" spans="2:13" x14ac:dyDescent="0.25">
      <c r="B31" s="21" t="s">
        <v>196</v>
      </c>
      <c r="C31" s="19"/>
      <c r="D31" s="20"/>
      <c r="E31" s="19"/>
      <c r="F31" s="19"/>
      <c r="G31" s="19"/>
      <c r="H31" s="19"/>
    </row>
    <row r="32" spans="2:13" x14ac:dyDescent="0.25">
      <c r="B32" s="22" t="s">
        <v>18</v>
      </c>
      <c r="C32" s="19"/>
      <c r="D32" s="20" t="s">
        <v>19</v>
      </c>
      <c r="E32" s="19">
        <v>7</v>
      </c>
      <c r="F32" s="19">
        <v>12.6</v>
      </c>
      <c r="G32" s="19">
        <v>17.399999999999999</v>
      </c>
      <c r="H32" s="19">
        <v>20</v>
      </c>
    </row>
    <row r="33" spans="2:13" x14ac:dyDescent="0.25">
      <c r="B33" s="18" t="s">
        <v>240</v>
      </c>
      <c r="C33" s="19"/>
      <c r="D33" s="19" t="s">
        <v>12</v>
      </c>
      <c r="E33" s="19"/>
      <c r="F33" s="19">
        <v>90</v>
      </c>
      <c r="G33" s="19">
        <v>95</v>
      </c>
      <c r="H33" s="19"/>
    </row>
    <row r="34" spans="2:13" x14ac:dyDescent="0.25">
      <c r="B34" s="18" t="s">
        <v>23</v>
      </c>
      <c r="C34" s="19"/>
      <c r="D34" s="19" t="s">
        <v>12</v>
      </c>
      <c r="E34" s="19"/>
      <c r="F34" s="19"/>
      <c r="G34" s="19">
        <v>3</v>
      </c>
      <c r="H34" s="19"/>
    </row>
    <row r="35" spans="2:13" x14ac:dyDescent="0.25">
      <c r="B35" s="18" t="s">
        <v>24</v>
      </c>
      <c r="C35" s="19"/>
      <c r="D35" s="19" t="s">
        <v>12</v>
      </c>
      <c r="E35" s="19"/>
      <c r="F35" s="19"/>
      <c r="G35" s="19">
        <v>1.5</v>
      </c>
      <c r="H35" s="19"/>
    </row>
    <row r="36" spans="2:13" x14ac:dyDescent="0.25">
      <c r="B36" s="18" t="s">
        <v>25</v>
      </c>
      <c r="C36" s="19"/>
      <c r="D36" s="19" t="s">
        <v>12</v>
      </c>
      <c r="E36" s="19"/>
      <c r="F36" s="19">
        <v>1</v>
      </c>
      <c r="G36" s="19">
        <v>5</v>
      </c>
      <c r="H36" s="19"/>
    </row>
    <row r="37" spans="2:13" x14ac:dyDescent="0.25">
      <c r="B37" s="18" t="s">
        <v>241</v>
      </c>
      <c r="C37" s="19"/>
      <c r="D37" s="19" t="s">
        <v>12</v>
      </c>
      <c r="E37" s="19"/>
      <c r="F37" s="19">
        <v>94</v>
      </c>
      <c r="G37" s="19">
        <v>98</v>
      </c>
      <c r="H37" s="19"/>
      <c r="J37" s="3" t="s">
        <v>17</v>
      </c>
      <c r="K37" s="15">
        <v>0.56000000000000005</v>
      </c>
      <c r="L37" s="15">
        <v>1.39</v>
      </c>
      <c r="M37" s="15" t="s">
        <v>11</v>
      </c>
    </row>
    <row r="38" spans="2:13" x14ac:dyDescent="0.25">
      <c r="B38" s="26" t="s">
        <v>201</v>
      </c>
      <c r="C38" s="27"/>
      <c r="D38" s="27"/>
      <c r="E38" s="27"/>
      <c r="F38" s="27"/>
      <c r="G38" s="27"/>
      <c r="H38" s="27"/>
      <c r="J38" s="16"/>
      <c r="K38" s="17"/>
      <c r="L38" s="17"/>
      <c r="M38" s="17"/>
    </row>
    <row r="39" spans="2:13" x14ac:dyDescent="0.25">
      <c r="B39" s="22" t="s">
        <v>242</v>
      </c>
      <c r="C39" s="20"/>
      <c r="D39" s="19" t="s">
        <v>11</v>
      </c>
      <c r="E39" s="20"/>
      <c r="F39" s="20">
        <v>19</v>
      </c>
      <c r="G39" s="20">
        <v>24</v>
      </c>
      <c r="H39" s="20"/>
      <c r="J39" s="3" t="s">
        <v>21</v>
      </c>
      <c r="K39" s="15">
        <v>11.7</v>
      </c>
      <c r="L39" s="15">
        <v>16.100000000000001</v>
      </c>
      <c r="M39" s="15" t="s">
        <v>19</v>
      </c>
    </row>
    <row r="40" spans="2:13" x14ac:dyDescent="0.25">
      <c r="B40" s="22" t="s">
        <v>197</v>
      </c>
      <c r="C40" s="20"/>
      <c r="D40" s="19" t="s">
        <v>11</v>
      </c>
      <c r="E40" s="20"/>
      <c r="F40" s="20"/>
      <c r="G40" s="20"/>
      <c r="H40" s="20"/>
      <c r="J40" s="16"/>
      <c r="K40" s="17"/>
      <c r="L40" s="17"/>
      <c r="M40" s="17"/>
    </row>
    <row r="41" spans="2:13" x14ac:dyDescent="0.25">
      <c r="B41" s="22" t="s">
        <v>88</v>
      </c>
      <c r="C41" s="20"/>
      <c r="D41" s="19" t="s">
        <v>11</v>
      </c>
      <c r="E41" s="20"/>
      <c r="F41" s="20">
        <v>-2</v>
      </c>
      <c r="G41" s="20">
        <v>3</v>
      </c>
      <c r="H41" s="20"/>
      <c r="J41" s="3"/>
      <c r="K41" s="15"/>
      <c r="L41" s="15"/>
      <c r="M41" s="15"/>
    </row>
    <row r="42" spans="2:13" x14ac:dyDescent="0.25">
      <c r="B42" s="22" t="s">
        <v>243</v>
      </c>
      <c r="C42" s="20"/>
      <c r="D42" s="19" t="s">
        <v>11</v>
      </c>
      <c r="E42" s="20"/>
      <c r="F42" s="20"/>
      <c r="G42" s="20"/>
      <c r="H42" s="20"/>
      <c r="J42" s="16"/>
      <c r="K42" s="17"/>
      <c r="L42" s="17"/>
      <c r="M42" s="17"/>
    </row>
    <row r="43" spans="2:13" x14ac:dyDescent="0.25">
      <c r="B43" s="22" t="s">
        <v>205</v>
      </c>
      <c r="C43" s="20"/>
      <c r="D43" s="19" t="s">
        <v>11</v>
      </c>
      <c r="E43" s="20"/>
      <c r="F43" s="20">
        <v>10</v>
      </c>
      <c r="G43" s="20">
        <v>20</v>
      </c>
      <c r="H43" s="20"/>
      <c r="J43" s="3"/>
      <c r="K43" s="15"/>
      <c r="L43" s="15"/>
      <c r="M43" s="15"/>
    </row>
    <row r="44" spans="2:13" x14ac:dyDescent="0.25">
      <c r="B44" s="22" t="s">
        <v>132</v>
      </c>
      <c r="C44" s="20"/>
      <c r="D44" s="20" t="s">
        <v>10</v>
      </c>
      <c r="E44" s="20"/>
      <c r="F44" s="20"/>
      <c r="G44" s="20"/>
      <c r="H44" s="20"/>
      <c r="J44" s="16"/>
      <c r="K44" s="17"/>
      <c r="L44" s="17"/>
      <c r="M44" s="17"/>
    </row>
    <row r="45" spans="2:13" x14ac:dyDescent="0.25">
      <c r="B45" s="22" t="s">
        <v>244</v>
      </c>
      <c r="C45" s="20"/>
      <c r="D45" s="20" t="s">
        <v>10</v>
      </c>
      <c r="E45" s="20"/>
      <c r="F45" s="20"/>
      <c r="G45" s="20"/>
      <c r="H45" s="20"/>
      <c r="J45" s="3"/>
      <c r="K45" s="15"/>
      <c r="L45" s="15"/>
      <c r="M45" s="15"/>
    </row>
    <row r="46" spans="2:13" x14ac:dyDescent="0.25">
      <c r="B46" s="18" t="s">
        <v>245</v>
      </c>
      <c r="C46" s="19"/>
      <c r="D46" s="20" t="s">
        <v>10</v>
      </c>
      <c r="E46" s="19"/>
      <c r="F46" s="19"/>
      <c r="G46" s="19"/>
      <c r="H46" s="19"/>
      <c r="J46" s="16"/>
      <c r="K46" s="17"/>
      <c r="L46" s="17"/>
      <c r="M46" s="17"/>
    </row>
    <row r="47" spans="2:13" ht="18" x14ac:dyDescent="0.25">
      <c r="B47" s="18" t="s">
        <v>246</v>
      </c>
      <c r="C47" s="19"/>
      <c r="D47" s="19" t="s">
        <v>202</v>
      </c>
      <c r="E47" s="19"/>
      <c r="F47" s="19"/>
      <c r="G47" s="19"/>
      <c r="H47" s="19"/>
      <c r="J47" s="3" t="s">
        <v>55</v>
      </c>
      <c r="K47" s="15">
        <v>22</v>
      </c>
      <c r="L47" s="15">
        <v>26</v>
      </c>
      <c r="M47" s="15" t="s">
        <v>11</v>
      </c>
    </row>
    <row r="48" spans="2:13" x14ac:dyDescent="0.25">
      <c r="B48" s="18" t="s">
        <v>247</v>
      </c>
      <c r="C48" s="19"/>
      <c r="D48" s="19" t="s">
        <v>248</v>
      </c>
      <c r="E48" s="19"/>
      <c r="F48" s="19"/>
      <c r="G48" s="19"/>
      <c r="H48" s="19"/>
      <c r="J48" s="16"/>
      <c r="K48" s="17"/>
      <c r="L48" s="17"/>
      <c r="M48" s="17"/>
    </row>
    <row r="49" spans="2:13" x14ac:dyDescent="0.25">
      <c r="B49" s="18" t="s">
        <v>249</v>
      </c>
      <c r="C49" s="19"/>
      <c r="D49" s="19" t="s">
        <v>12</v>
      </c>
      <c r="E49" s="19"/>
      <c r="F49" s="19"/>
      <c r="G49" s="19"/>
      <c r="H49" s="19"/>
      <c r="J49" s="3"/>
      <c r="K49" s="15"/>
      <c r="L49" s="15"/>
      <c r="M49" s="15"/>
    </row>
    <row r="50" spans="2:13" ht="18" x14ac:dyDescent="0.25">
      <c r="B50" s="18" t="s">
        <v>250</v>
      </c>
      <c r="C50" s="19"/>
      <c r="D50" s="19" t="s">
        <v>11</v>
      </c>
      <c r="E50" s="19">
        <v>10</v>
      </c>
      <c r="F50" s="19">
        <v>21</v>
      </c>
      <c r="G50" s="19">
        <v>28</v>
      </c>
      <c r="H50" s="19">
        <v>40</v>
      </c>
      <c r="J50" s="16" t="s">
        <v>57</v>
      </c>
      <c r="K50" s="17">
        <v>22</v>
      </c>
      <c r="L50" s="17">
        <v>29</v>
      </c>
      <c r="M50" s="17" t="s">
        <v>11</v>
      </c>
    </row>
    <row r="51" spans="2:13" x14ac:dyDescent="0.25">
      <c r="B51" s="18" t="s">
        <v>251</v>
      </c>
      <c r="C51" s="19"/>
      <c r="D51" s="19" t="s">
        <v>11</v>
      </c>
      <c r="E51" s="19"/>
      <c r="F51" s="19"/>
      <c r="G51" s="19"/>
      <c r="H51" s="19"/>
    </row>
    <row r="52" spans="2:13" x14ac:dyDescent="0.25">
      <c r="B52" s="18" t="s">
        <v>252</v>
      </c>
      <c r="C52" s="19"/>
      <c r="D52" s="19" t="s">
        <v>10</v>
      </c>
      <c r="E52" s="19"/>
      <c r="F52" s="19"/>
      <c r="G52" s="19"/>
      <c r="H52" s="19"/>
    </row>
    <row r="53" spans="2:13" x14ac:dyDescent="0.25">
      <c r="B53" s="18" t="s">
        <v>253</v>
      </c>
      <c r="C53" s="19"/>
      <c r="D53" s="19"/>
      <c r="E53" s="19"/>
      <c r="F53" s="19"/>
      <c r="G53" s="19"/>
      <c r="H53" s="19"/>
    </row>
    <row r="54" spans="2:13" x14ac:dyDescent="0.25">
      <c r="B54" s="18" t="s">
        <v>161</v>
      </c>
      <c r="C54" s="19"/>
      <c r="D54" s="19"/>
      <c r="E54" s="19"/>
      <c r="F54" s="19"/>
      <c r="G54" s="19"/>
      <c r="H54" s="19"/>
    </row>
    <row r="55" spans="2:13" x14ac:dyDescent="0.25">
      <c r="B55" s="18" t="s">
        <v>254</v>
      </c>
      <c r="C55" s="19"/>
      <c r="D55" s="19" t="s">
        <v>202</v>
      </c>
      <c r="E55" s="19"/>
      <c r="F55" s="19"/>
      <c r="G55" s="19"/>
      <c r="H55" s="19"/>
    </row>
    <row r="56" spans="2:13" x14ac:dyDescent="0.25">
      <c r="B56" s="18" t="s">
        <v>173</v>
      </c>
      <c r="C56" s="19"/>
      <c r="D56" s="19" t="s">
        <v>12</v>
      </c>
      <c r="E56" s="19"/>
      <c r="F56" s="19"/>
      <c r="G56" s="19"/>
      <c r="H56" s="19"/>
    </row>
    <row r="57" spans="2:13" x14ac:dyDescent="0.25">
      <c r="B57" s="18" t="s">
        <v>176</v>
      </c>
      <c r="C57" s="19"/>
      <c r="D57" s="19" t="s">
        <v>12</v>
      </c>
      <c r="E57" s="19"/>
      <c r="F57" s="19"/>
      <c r="G57" s="19"/>
      <c r="H57" s="19"/>
    </row>
    <row r="58" spans="2:13" x14ac:dyDescent="0.25">
      <c r="B58" s="28"/>
      <c r="C58" s="27"/>
      <c r="D58" s="27"/>
      <c r="E58" s="27"/>
      <c r="F58" s="27"/>
      <c r="G58" s="27"/>
      <c r="H58" s="27"/>
    </row>
    <row r="59" spans="2:13" x14ac:dyDescent="0.25">
      <c r="B59" s="26" t="s">
        <v>255</v>
      </c>
      <c r="C59" s="27"/>
      <c r="D59" s="27"/>
      <c r="E59" s="27"/>
      <c r="F59" s="27"/>
      <c r="G59" s="27"/>
      <c r="H59" s="27"/>
    </row>
    <row r="60" spans="2:13" x14ac:dyDescent="0.25">
      <c r="B60" s="22" t="s">
        <v>203</v>
      </c>
      <c r="C60" s="21"/>
      <c r="D60" s="29" t="s">
        <v>256</v>
      </c>
      <c r="E60" s="20"/>
      <c r="F60" s="20"/>
      <c r="G60" s="20"/>
      <c r="H60" s="20"/>
    </row>
    <row r="61" spans="2:13" x14ac:dyDescent="0.25">
      <c r="B61" s="22" t="s">
        <v>257</v>
      </c>
      <c r="C61" s="20"/>
      <c r="D61" s="20" t="s">
        <v>12</v>
      </c>
      <c r="E61" s="20"/>
      <c r="F61" s="20"/>
      <c r="G61" s="20"/>
      <c r="H61" s="20"/>
    </row>
    <row r="62" spans="2:13" x14ac:dyDescent="0.25">
      <c r="B62" s="22" t="s">
        <v>204</v>
      </c>
      <c r="C62" s="20"/>
      <c r="D62" s="20" t="s">
        <v>10</v>
      </c>
      <c r="E62" s="20"/>
      <c r="F62" s="20"/>
      <c r="G62" s="20"/>
      <c r="H62" s="20"/>
    </row>
    <row r="63" spans="2:13" x14ac:dyDescent="0.25">
      <c r="B63" s="10"/>
    </row>
    <row r="64" spans="2:13" x14ac:dyDescent="0.25">
      <c r="B64" s="10"/>
    </row>
  </sheetData>
  <mergeCells count="16">
    <mergeCell ref="B11:C11"/>
    <mergeCell ref="D11:H11"/>
    <mergeCell ref="B14:D15"/>
    <mergeCell ref="F14:G14"/>
    <mergeCell ref="B6:C6"/>
    <mergeCell ref="D6:H6"/>
    <mergeCell ref="B9:C9"/>
    <mergeCell ref="D9:H9"/>
    <mergeCell ref="B10:C10"/>
    <mergeCell ref="D10:H10"/>
    <mergeCell ref="B3:C3"/>
    <mergeCell ref="D3:H3"/>
    <mergeCell ref="B4:C4"/>
    <mergeCell ref="D4:H4"/>
    <mergeCell ref="B5:C5"/>
    <mergeCell ref="D5:H5"/>
  </mergeCells>
  <pageMargins left="0.39370078740157483" right="0.39370078740157483" top="0.74803149606299213" bottom="0.74803149606299213" header="0.31496062992125984" footer="0.31496062992125984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4E85-9763-4CAB-A175-129BCCDCCFA3}">
  <dimension ref="A1:AE59"/>
  <sheetViews>
    <sheetView topLeftCell="A2" workbookViewId="0">
      <selection activeCell="A3" sqref="A3:B3"/>
    </sheetView>
  </sheetViews>
  <sheetFormatPr defaultRowHeight="15" x14ac:dyDescent="0.25"/>
  <cols>
    <col min="1" max="1" width="10.7109375" customWidth="1"/>
    <col min="2" max="2" width="5.7109375" customWidth="1"/>
    <col min="3" max="3" width="6.42578125" customWidth="1"/>
    <col min="4" max="7" width="5.7109375" customWidth="1"/>
    <col min="8" max="8" width="2.85546875" customWidth="1"/>
    <col min="9" max="9" width="10.7109375" customWidth="1"/>
    <col min="10" max="10" width="6.5703125" bestFit="1" customWidth="1"/>
    <col min="11" max="11" width="6.42578125" customWidth="1"/>
    <col min="12" max="15" width="5.7109375" customWidth="1"/>
    <col min="18" max="18" width="24.28515625" customWidth="1"/>
    <col min="21" max="21" width="25.140625" bestFit="1" customWidth="1"/>
  </cols>
  <sheetData>
    <row r="1" spans="1:31" x14ac:dyDescent="0.25">
      <c r="A1" s="11" t="s">
        <v>214</v>
      </c>
      <c r="I1" s="11" t="s">
        <v>213</v>
      </c>
      <c r="K1" s="13"/>
    </row>
    <row r="2" spans="1:31" s="1" customFormat="1" ht="18" x14ac:dyDescent="0.25">
      <c r="A2" s="64" t="s">
        <v>215</v>
      </c>
      <c r="B2" s="64"/>
      <c r="C2" s="64" t="s">
        <v>260</v>
      </c>
      <c r="D2" s="64"/>
      <c r="E2" s="64"/>
      <c r="F2" s="64"/>
      <c r="G2" s="64"/>
      <c r="I2" s="66" t="s">
        <v>258</v>
      </c>
      <c r="J2" s="66"/>
      <c r="K2" s="64" t="s">
        <v>259</v>
      </c>
      <c r="L2" s="64"/>
      <c r="M2" s="64"/>
      <c r="N2" s="64"/>
      <c r="O2" s="64"/>
      <c r="Q2" s="47" t="s">
        <v>206</v>
      </c>
      <c r="R2" s="48" t="s">
        <v>208</v>
      </c>
      <c r="S2" s="49" t="s">
        <v>1</v>
      </c>
      <c r="T2" s="49" t="s">
        <v>303</v>
      </c>
      <c r="U2" s="49" t="s">
        <v>304</v>
      </c>
      <c r="V2" s="49" t="s">
        <v>126</v>
      </c>
      <c r="W2" s="49" t="s">
        <v>18</v>
      </c>
      <c r="X2" s="49" t="s">
        <v>302</v>
      </c>
      <c r="Y2" s="49" t="s">
        <v>23</v>
      </c>
      <c r="Z2" s="49" t="s">
        <v>24</v>
      </c>
      <c r="AA2" s="49" t="s">
        <v>25</v>
      </c>
      <c r="AB2" s="49" t="s">
        <v>305</v>
      </c>
      <c r="AC2" s="49" t="s">
        <v>203</v>
      </c>
      <c r="AD2" s="49" t="s">
        <v>60</v>
      </c>
      <c r="AE2" s="50" t="s">
        <v>204</v>
      </c>
    </row>
    <row r="3" spans="1:31" s="1" customFormat="1" x14ac:dyDescent="0.25">
      <c r="A3" s="64" t="s">
        <v>216</v>
      </c>
      <c r="B3" s="64"/>
      <c r="C3" s="64" t="s">
        <v>261</v>
      </c>
      <c r="D3" s="64"/>
      <c r="E3" s="64"/>
      <c r="F3" s="64"/>
      <c r="G3" s="64"/>
      <c r="I3" s="66" t="s">
        <v>220</v>
      </c>
      <c r="J3" s="66"/>
      <c r="K3" s="66" t="s">
        <v>297</v>
      </c>
      <c r="L3" s="66"/>
      <c r="M3" s="66"/>
      <c r="N3" s="66"/>
      <c r="O3" s="66"/>
      <c r="Q3" s="1">
        <v>1</v>
      </c>
      <c r="R3" s="1" t="s">
        <v>300</v>
      </c>
      <c r="S3" s="1">
        <v>7</v>
      </c>
      <c r="T3" s="1">
        <v>30</v>
      </c>
      <c r="U3" s="1">
        <v>100</v>
      </c>
      <c r="V3" s="1">
        <v>40</v>
      </c>
      <c r="W3" s="1">
        <v>13.3</v>
      </c>
      <c r="X3" s="1">
        <v>95</v>
      </c>
      <c r="Y3" s="1">
        <v>2</v>
      </c>
      <c r="Z3" s="1">
        <v>0</v>
      </c>
      <c r="AA3" s="1">
        <v>3</v>
      </c>
      <c r="AB3" s="1">
        <v>98</v>
      </c>
      <c r="AC3" s="1">
        <v>36.4</v>
      </c>
      <c r="AD3" s="1">
        <v>21</v>
      </c>
      <c r="AE3" s="1">
        <v>760</v>
      </c>
    </row>
    <row r="4" spans="1:31" s="1" customFormat="1" x14ac:dyDescent="0.25">
      <c r="A4" s="64" t="s">
        <v>217</v>
      </c>
      <c r="B4" s="64"/>
      <c r="C4" s="64" t="s">
        <v>218</v>
      </c>
      <c r="D4" s="64"/>
      <c r="E4" s="64"/>
      <c r="F4" s="64"/>
      <c r="G4" s="64"/>
      <c r="I4" s="66" t="s">
        <v>222</v>
      </c>
      <c r="J4" s="66"/>
      <c r="K4" s="66" t="s">
        <v>296</v>
      </c>
      <c r="L4" s="66"/>
      <c r="M4" s="66"/>
      <c r="N4" s="66"/>
      <c r="O4" s="66"/>
      <c r="Q4" s="1">
        <v>2</v>
      </c>
      <c r="R4" s="1" t="s">
        <v>301</v>
      </c>
    </row>
    <row r="5" spans="1:31" s="1" customFormat="1" x14ac:dyDescent="0.25">
      <c r="A5" s="64" t="s">
        <v>219</v>
      </c>
      <c r="B5" s="64"/>
      <c r="C5" s="79" t="s">
        <v>298</v>
      </c>
      <c r="D5" s="79"/>
      <c r="E5" s="1" t="s">
        <v>100</v>
      </c>
      <c r="F5" s="64" t="s">
        <v>299</v>
      </c>
      <c r="G5" s="64"/>
    </row>
    <row r="6" spans="1:31" x14ac:dyDescent="0.25">
      <c r="A6" s="10"/>
    </row>
    <row r="7" spans="1:31" x14ac:dyDescent="0.25">
      <c r="A7" s="11" t="s">
        <v>224</v>
      </c>
      <c r="B7" s="30"/>
      <c r="C7" s="30"/>
      <c r="D7" s="30"/>
      <c r="E7" s="30"/>
      <c r="F7" s="30"/>
      <c r="G7" s="30"/>
    </row>
    <row r="8" spans="1:31" x14ac:dyDescent="0.25">
      <c r="A8" s="86"/>
      <c r="B8" s="86"/>
      <c r="C8" s="86"/>
      <c r="D8" s="36" t="s">
        <v>225</v>
      </c>
      <c r="E8" s="86" t="s">
        <v>227</v>
      </c>
      <c r="F8" s="86"/>
      <c r="G8" s="36" t="s">
        <v>228</v>
      </c>
      <c r="H8" s="37"/>
      <c r="I8" s="86"/>
      <c r="J8" s="86"/>
      <c r="K8" s="86"/>
      <c r="L8" s="36" t="s">
        <v>225</v>
      </c>
      <c r="M8" s="86" t="s">
        <v>227</v>
      </c>
      <c r="N8" s="86"/>
      <c r="O8" s="36" t="s">
        <v>228</v>
      </c>
    </row>
    <row r="9" spans="1:31" x14ac:dyDescent="0.25">
      <c r="A9" s="86"/>
      <c r="B9" s="86"/>
      <c r="C9" s="86"/>
      <c r="D9" s="36" t="s">
        <v>226</v>
      </c>
      <c r="E9" s="36" t="s">
        <v>226</v>
      </c>
      <c r="F9" s="36" t="s">
        <v>229</v>
      </c>
      <c r="G9" s="36" t="s">
        <v>229</v>
      </c>
      <c r="H9" s="37"/>
      <c r="I9" s="86"/>
      <c r="J9" s="86"/>
      <c r="K9" s="86"/>
      <c r="L9" s="36" t="s">
        <v>226</v>
      </c>
      <c r="M9" s="36" t="s">
        <v>226</v>
      </c>
      <c r="N9" s="36" t="s">
        <v>229</v>
      </c>
      <c r="O9" s="36" t="s">
        <v>229</v>
      </c>
    </row>
    <row r="10" spans="1:31" ht="15" customHeight="1" x14ac:dyDescent="0.25">
      <c r="A10" s="51" t="s">
        <v>230</v>
      </c>
      <c r="B10" s="87" t="s">
        <v>306</v>
      </c>
      <c r="C10" s="88"/>
      <c r="D10" s="88"/>
      <c r="E10" s="88"/>
      <c r="F10" s="88"/>
      <c r="G10" s="89"/>
      <c r="H10" s="37"/>
      <c r="I10" s="52" t="s">
        <v>201</v>
      </c>
      <c r="J10" s="80"/>
      <c r="K10" s="81"/>
      <c r="L10" s="81"/>
      <c r="M10" s="81"/>
      <c r="N10" s="81"/>
      <c r="O10" s="82"/>
      <c r="Q10" s="1"/>
      <c r="R10" s="1"/>
      <c r="S10" s="1"/>
      <c r="T10" s="1"/>
      <c r="U10" s="1"/>
      <c r="V10" s="1"/>
    </row>
    <row r="11" spans="1:31" x14ac:dyDescent="0.25">
      <c r="A11" s="38" t="s">
        <v>183</v>
      </c>
      <c r="B11" s="39">
        <f>B15+(B33-37)*(-0.0147+0.0065*(7.4-B33))</f>
        <v>7.39</v>
      </c>
      <c r="C11" s="36"/>
      <c r="D11" s="39">
        <v>7.2</v>
      </c>
      <c r="E11" s="39">
        <v>7.35</v>
      </c>
      <c r="F11" s="39">
        <v>7.45</v>
      </c>
      <c r="G11" s="39">
        <v>7.6</v>
      </c>
      <c r="H11" s="37"/>
      <c r="I11" s="38" t="s">
        <v>275</v>
      </c>
      <c r="J11" s="44">
        <f>J22+0.0307*B12</f>
        <v>29.893921113433922</v>
      </c>
      <c r="K11" s="36" t="s">
        <v>11</v>
      </c>
      <c r="L11" s="36"/>
      <c r="M11" s="36">
        <v>19</v>
      </c>
      <c r="N11" s="36">
        <v>24</v>
      </c>
      <c r="O11" s="36"/>
      <c r="R11" s="58" t="s">
        <v>331</v>
      </c>
    </row>
    <row r="12" spans="1:31" x14ac:dyDescent="0.25">
      <c r="A12" s="38" t="s">
        <v>276</v>
      </c>
      <c r="B12" s="43">
        <f>B16*10^(0.019*(B33-37))</f>
        <v>47</v>
      </c>
      <c r="C12" s="36" t="s">
        <v>10</v>
      </c>
      <c r="D12" s="36">
        <v>20</v>
      </c>
      <c r="E12" s="36">
        <v>35</v>
      </c>
      <c r="F12" s="36">
        <v>48</v>
      </c>
      <c r="G12" s="36">
        <v>70</v>
      </c>
      <c r="H12" s="37"/>
      <c r="I12" s="38" t="s">
        <v>197</v>
      </c>
      <c r="J12" s="44">
        <f>J22-24.8+16.2*(B11-7.4)</f>
        <v>3.4890211134339091</v>
      </c>
      <c r="K12" s="36" t="s">
        <v>11</v>
      </c>
      <c r="L12" s="36"/>
      <c r="M12" s="36"/>
      <c r="N12" s="36"/>
      <c r="O12" s="36"/>
      <c r="R12" s="58" t="s">
        <v>322</v>
      </c>
    </row>
    <row r="13" spans="1:31" x14ac:dyDescent="0.25">
      <c r="A13" s="38" t="s">
        <v>277</v>
      </c>
      <c r="B13" s="43">
        <f>B17*10^(B38*(B33-37))</f>
        <v>52</v>
      </c>
      <c r="C13" s="36" t="s">
        <v>10</v>
      </c>
      <c r="D13" s="36">
        <v>40</v>
      </c>
      <c r="E13" s="36">
        <v>83</v>
      </c>
      <c r="F13" s="36">
        <v>108</v>
      </c>
      <c r="G13" s="36"/>
      <c r="H13" s="37"/>
      <c r="I13" s="38" t="s">
        <v>88</v>
      </c>
      <c r="J13" s="44">
        <f>(1-0.014*B19)*(J22- 24.8+(1.43*B26+7.7)*(B11-7.4))</f>
        <v>3.2847833439932597</v>
      </c>
      <c r="K13" s="36" t="s">
        <v>11</v>
      </c>
      <c r="L13" s="36"/>
      <c r="M13" s="36">
        <v>-2</v>
      </c>
      <c r="N13" s="36">
        <v>3</v>
      </c>
      <c r="O13" s="36"/>
      <c r="R13" s="58" t="s">
        <v>330</v>
      </c>
    </row>
    <row r="14" spans="1:31" x14ac:dyDescent="0.25">
      <c r="A14" s="51" t="s">
        <v>190</v>
      </c>
      <c r="B14" s="87" t="s">
        <v>278</v>
      </c>
      <c r="C14" s="88"/>
      <c r="D14" s="88"/>
      <c r="E14" s="88"/>
      <c r="F14" s="88"/>
      <c r="G14" s="89"/>
      <c r="H14" s="37"/>
      <c r="I14" s="38" t="s">
        <v>279</v>
      </c>
      <c r="J14" s="39">
        <f>B21*10^(-0.178*(7.4-B11))</f>
        <v>1.1253780585620785</v>
      </c>
      <c r="K14" s="36" t="s">
        <v>11</v>
      </c>
      <c r="L14" s="36"/>
      <c r="M14" s="36"/>
      <c r="N14" s="36"/>
      <c r="O14" s="36"/>
      <c r="R14" s="7" t="s">
        <v>323</v>
      </c>
    </row>
    <row r="15" spans="1:31" x14ac:dyDescent="0.25">
      <c r="A15" s="38" t="s">
        <v>1</v>
      </c>
      <c r="B15" s="39">
        <v>7.39</v>
      </c>
      <c r="C15" s="36"/>
      <c r="D15" s="36">
        <v>7.2</v>
      </c>
      <c r="E15" s="36">
        <v>7.35</v>
      </c>
      <c r="F15" s="36">
        <v>7.45</v>
      </c>
      <c r="G15" s="36">
        <v>7.6</v>
      </c>
      <c r="H15" s="37"/>
      <c r="I15" s="38" t="s">
        <v>205</v>
      </c>
      <c r="J15" s="43">
        <f>(B18+B19)-(B20-J22)</f>
        <v>71.751021113433936</v>
      </c>
      <c r="K15" s="36" t="s">
        <v>11</v>
      </c>
      <c r="L15" s="36"/>
      <c r="M15" s="36">
        <v>10</v>
      </c>
      <c r="N15" s="36">
        <v>20</v>
      </c>
      <c r="O15" s="36"/>
      <c r="R15" s="59" t="s">
        <v>324</v>
      </c>
    </row>
    <row r="16" spans="1:31" x14ac:dyDescent="0.25">
      <c r="A16" s="38" t="s">
        <v>280</v>
      </c>
      <c r="B16" s="43">
        <v>47</v>
      </c>
      <c r="C16" s="36" t="s">
        <v>10</v>
      </c>
      <c r="D16" s="36">
        <v>20</v>
      </c>
      <c r="E16" s="36">
        <v>35</v>
      </c>
      <c r="F16" s="36">
        <v>48</v>
      </c>
      <c r="G16" s="36">
        <v>70</v>
      </c>
      <c r="H16" s="37"/>
      <c r="I16" s="38" t="s">
        <v>132</v>
      </c>
      <c r="J16" s="43">
        <v>0</v>
      </c>
      <c r="K16" s="36" t="s">
        <v>10</v>
      </c>
      <c r="L16" s="36"/>
      <c r="M16" s="36"/>
      <c r="N16" s="36"/>
      <c r="O16" s="36"/>
    </row>
    <row r="17" spans="1:27" ht="18" x14ac:dyDescent="0.35">
      <c r="A17" s="38" t="s">
        <v>281</v>
      </c>
      <c r="B17" s="43">
        <v>52</v>
      </c>
      <c r="C17" s="36" t="s">
        <v>10</v>
      </c>
      <c r="D17" s="36">
        <v>40</v>
      </c>
      <c r="E17" s="36">
        <v>83</v>
      </c>
      <c r="F17" s="36">
        <v>106</v>
      </c>
      <c r="G17" s="36"/>
      <c r="H17" s="37"/>
      <c r="I17" s="38" t="s">
        <v>282</v>
      </c>
      <c r="J17" s="61">
        <f>(B34*(B35-47)-1.25*B12)/100</f>
        <v>149.14250000000001</v>
      </c>
      <c r="K17" s="36" t="s">
        <v>10</v>
      </c>
      <c r="L17" s="36"/>
      <c r="M17" s="36"/>
      <c r="N17" s="36"/>
      <c r="O17" s="36"/>
      <c r="R17" s="60" t="s">
        <v>329</v>
      </c>
      <c r="U17" t="s">
        <v>347</v>
      </c>
      <c r="V17" s="63" t="s">
        <v>345</v>
      </c>
      <c r="AA17" s="63" t="s">
        <v>343</v>
      </c>
    </row>
    <row r="18" spans="1:27" ht="18" x14ac:dyDescent="0.35">
      <c r="A18" s="38" t="s">
        <v>237</v>
      </c>
      <c r="B18" s="43">
        <v>140</v>
      </c>
      <c r="C18" s="36" t="s">
        <v>11</v>
      </c>
      <c r="D18" s="36">
        <v>120</v>
      </c>
      <c r="E18" s="36">
        <v>136</v>
      </c>
      <c r="F18" s="36">
        <v>145</v>
      </c>
      <c r="G18" s="36">
        <v>160</v>
      </c>
      <c r="H18" s="37"/>
      <c r="I18" s="38" t="s">
        <v>283</v>
      </c>
      <c r="J18" s="44">
        <f>0.0139*B26*B27+0.0031*B13</f>
        <v>9.7111949999999982</v>
      </c>
      <c r="K18" s="36" t="s">
        <v>10</v>
      </c>
      <c r="L18" s="36"/>
      <c r="M18" s="36"/>
      <c r="N18" s="36"/>
      <c r="O18" s="36"/>
      <c r="R18" s="60" t="s">
        <v>328</v>
      </c>
    </row>
    <row r="19" spans="1:27" ht="18" x14ac:dyDescent="0.35">
      <c r="A19" s="38" t="s">
        <v>238</v>
      </c>
      <c r="B19" s="44">
        <v>3.3</v>
      </c>
      <c r="C19" s="36" t="s">
        <v>11</v>
      </c>
      <c r="D19" s="36">
        <v>2.8</v>
      </c>
      <c r="E19" s="36">
        <v>3.5</v>
      </c>
      <c r="F19" s="36">
        <v>5.0999999999999996</v>
      </c>
      <c r="G19" s="36">
        <v>7.8</v>
      </c>
      <c r="H19" s="37"/>
      <c r="I19" s="38" t="s">
        <v>284</v>
      </c>
      <c r="J19" s="44">
        <f>(B26-B26*(100-B27-B30))*1.39</f>
        <v>-8.8542999999999914</v>
      </c>
      <c r="K19" s="36" t="s">
        <v>202</v>
      </c>
      <c r="L19" s="36"/>
      <c r="M19" s="36"/>
      <c r="N19" s="36"/>
      <c r="O19" s="36"/>
      <c r="R19" s="60" t="s">
        <v>327</v>
      </c>
    </row>
    <row r="20" spans="1:27" ht="18" x14ac:dyDescent="0.35">
      <c r="A20" s="38" t="s">
        <v>239</v>
      </c>
      <c r="B20" s="43">
        <v>100</v>
      </c>
      <c r="C20" s="36" t="s">
        <v>11</v>
      </c>
      <c r="D20" s="36">
        <v>80</v>
      </c>
      <c r="E20" s="36">
        <v>98</v>
      </c>
      <c r="F20" s="36">
        <v>107</v>
      </c>
      <c r="G20" s="36">
        <v>120</v>
      </c>
      <c r="H20" s="37"/>
      <c r="I20" s="38" t="s">
        <v>285</v>
      </c>
      <c r="J20" s="44">
        <f>(0.0139*B26*B27)+0.00314*B13</f>
        <v>9.7132749999999994</v>
      </c>
      <c r="K20" s="36" t="s">
        <v>248</v>
      </c>
      <c r="L20" s="36"/>
      <c r="M20" s="36"/>
      <c r="N20" s="36"/>
      <c r="O20" s="36"/>
      <c r="R20" s="60" t="s">
        <v>325</v>
      </c>
      <c r="U20" t="s">
        <v>346</v>
      </c>
      <c r="V20" t="s">
        <v>350</v>
      </c>
    </row>
    <row r="21" spans="1:27" x14ac:dyDescent="0.25">
      <c r="A21" s="38" t="s">
        <v>6</v>
      </c>
      <c r="B21" s="39">
        <v>1.1299999999999999</v>
      </c>
      <c r="C21" s="36" t="s">
        <v>11</v>
      </c>
      <c r="D21" s="36">
        <v>0.75</v>
      </c>
      <c r="E21" s="36">
        <v>1.1499999999999999</v>
      </c>
      <c r="F21" s="36">
        <v>1.33</v>
      </c>
      <c r="G21" s="39">
        <v>1.6</v>
      </c>
      <c r="H21" s="37"/>
      <c r="I21" s="38" t="s">
        <v>286</v>
      </c>
      <c r="J21" s="53">
        <f>((23400*(B17^3+150*B17)^-1+1)^-1)*100</f>
        <v>86.380145278450357</v>
      </c>
      <c r="K21" s="36" t="s">
        <v>12</v>
      </c>
      <c r="L21" s="36"/>
      <c r="M21" s="36"/>
      <c r="N21" s="36"/>
      <c r="O21" s="36"/>
      <c r="R21" s="58" t="s">
        <v>332</v>
      </c>
    </row>
    <row r="22" spans="1:27" x14ac:dyDescent="0.25">
      <c r="A22" s="38" t="s">
        <v>13</v>
      </c>
      <c r="B22" s="43">
        <v>222</v>
      </c>
      <c r="C22" s="36" t="s">
        <v>15</v>
      </c>
      <c r="D22" s="36">
        <v>40</v>
      </c>
      <c r="E22" s="36">
        <v>65</v>
      </c>
      <c r="F22" s="36">
        <v>95</v>
      </c>
      <c r="G22" s="36">
        <v>450</v>
      </c>
      <c r="H22" s="37"/>
      <c r="I22" s="38" t="s">
        <v>287</v>
      </c>
      <c r="J22" s="44">
        <f>10^(B11+LOG(B12)-7.608)</f>
        <v>28.451021113433921</v>
      </c>
      <c r="K22" s="36" t="s">
        <v>11</v>
      </c>
      <c r="L22" s="36">
        <v>10</v>
      </c>
      <c r="M22" s="36">
        <v>21</v>
      </c>
      <c r="N22" s="36">
        <v>28</v>
      </c>
      <c r="O22" s="36">
        <v>40</v>
      </c>
      <c r="R22" s="58" t="s">
        <v>321</v>
      </c>
    </row>
    <row r="23" spans="1:27" x14ac:dyDescent="0.25">
      <c r="A23" s="38" t="s">
        <v>16</v>
      </c>
      <c r="B23" s="39">
        <v>2.2000000000000002</v>
      </c>
      <c r="C23" s="36" t="s">
        <v>11</v>
      </c>
      <c r="D23" s="36"/>
      <c r="E23" s="36">
        <v>0.36</v>
      </c>
      <c r="F23" s="36">
        <v>0.75</v>
      </c>
      <c r="G23" s="36">
        <v>3.4</v>
      </c>
      <c r="H23" s="37"/>
      <c r="I23" s="38" t="s">
        <v>288</v>
      </c>
      <c r="J23" s="44">
        <f>25+0.78*J13+0.002*B26*(B27-100)</f>
        <v>27.116231008314742</v>
      </c>
      <c r="K23" s="36" t="s">
        <v>11</v>
      </c>
      <c r="L23" s="36"/>
      <c r="M23" s="36"/>
      <c r="N23" s="36"/>
      <c r="O23" s="36"/>
      <c r="R23" s="58" t="s">
        <v>326</v>
      </c>
    </row>
    <row r="24" spans="1:27" ht="18" x14ac:dyDescent="0.35">
      <c r="A24" s="40" t="s">
        <v>126</v>
      </c>
      <c r="B24" s="45">
        <v>29</v>
      </c>
      <c r="C24" s="41" t="s">
        <v>12</v>
      </c>
      <c r="D24" s="41"/>
      <c r="E24" s="41">
        <v>40</v>
      </c>
      <c r="F24" s="41">
        <v>50</v>
      </c>
      <c r="G24" s="41"/>
      <c r="H24" s="37"/>
      <c r="I24" s="38" t="s">
        <v>289</v>
      </c>
      <c r="J24" s="43">
        <f>J17-B12</f>
        <v>102.14250000000001</v>
      </c>
      <c r="K24" s="36" t="s">
        <v>10</v>
      </c>
      <c r="L24" s="36"/>
      <c r="M24" s="36"/>
      <c r="N24" s="36"/>
      <c r="O24" s="36"/>
      <c r="R24" s="60" t="s">
        <v>333</v>
      </c>
      <c r="V24" s="63" t="s">
        <v>344</v>
      </c>
    </row>
    <row r="25" spans="1:27" x14ac:dyDescent="0.25">
      <c r="A25" s="51" t="s">
        <v>196</v>
      </c>
      <c r="B25" s="90"/>
      <c r="C25" s="91"/>
      <c r="D25" s="91"/>
      <c r="E25" s="91"/>
      <c r="F25" s="91"/>
      <c r="G25" s="92"/>
      <c r="H25" s="37"/>
      <c r="I25" s="38" t="s">
        <v>290</v>
      </c>
      <c r="J25" s="39">
        <f>B13/J17</f>
        <v>0.34865983874482454</v>
      </c>
      <c r="K25" s="36"/>
      <c r="L25" s="36"/>
      <c r="M25" s="36"/>
      <c r="N25" s="36"/>
      <c r="O25" s="36"/>
    </row>
    <row r="26" spans="1:27" ht="18" x14ac:dyDescent="0.35">
      <c r="A26" s="38" t="s">
        <v>18</v>
      </c>
      <c r="B26" s="44">
        <v>9.1</v>
      </c>
      <c r="C26" s="36" t="s">
        <v>19</v>
      </c>
      <c r="D26" s="36">
        <v>7</v>
      </c>
      <c r="E26" s="36">
        <v>12.6</v>
      </c>
      <c r="F26" s="36">
        <v>17.399999999999999</v>
      </c>
      <c r="G26" s="36">
        <v>20</v>
      </c>
      <c r="H26" s="37"/>
      <c r="I26" s="38" t="s">
        <v>161</v>
      </c>
      <c r="J26" s="39">
        <f>J24/B13</f>
        <v>1.9642788461538463</v>
      </c>
      <c r="K26" s="36"/>
      <c r="L26" s="36"/>
      <c r="M26" s="36"/>
      <c r="N26" s="36"/>
      <c r="O26" s="36"/>
      <c r="R26" s="60" t="s">
        <v>334</v>
      </c>
    </row>
    <row r="27" spans="1:27" ht="18" x14ac:dyDescent="0.35">
      <c r="A27" s="38" t="s">
        <v>291</v>
      </c>
      <c r="B27" s="44">
        <v>75.5</v>
      </c>
      <c r="C27" s="36" t="s">
        <v>12</v>
      </c>
      <c r="D27" s="36"/>
      <c r="E27" s="36">
        <v>90</v>
      </c>
      <c r="F27" s="36">
        <v>95</v>
      </c>
      <c r="G27" s="36"/>
      <c r="H27" s="37"/>
      <c r="I27" s="38" t="s">
        <v>292</v>
      </c>
      <c r="J27" s="44">
        <f>(1.39*B26*B42)+0.00314*J17</f>
        <v>12.851678449999998</v>
      </c>
      <c r="K27" s="36" t="s">
        <v>202</v>
      </c>
      <c r="L27" s="36"/>
      <c r="M27" s="36"/>
      <c r="N27" s="36"/>
      <c r="O27" s="36"/>
      <c r="R27" s="60" t="s">
        <v>335</v>
      </c>
    </row>
    <row r="28" spans="1:27" ht="18" x14ac:dyDescent="0.35">
      <c r="A28" s="38" t="s">
        <v>23</v>
      </c>
      <c r="B28" s="44">
        <v>1.1000000000000001</v>
      </c>
      <c r="C28" s="36" t="s">
        <v>12</v>
      </c>
      <c r="D28" s="36"/>
      <c r="E28" s="36"/>
      <c r="F28" s="36">
        <v>10</v>
      </c>
      <c r="G28" s="36"/>
      <c r="H28" s="37"/>
      <c r="I28" s="38" t="s">
        <v>173</v>
      </c>
      <c r="J28" s="44">
        <f>100*(J27-J18)/(3.5+J27-J18)</f>
        <v>47.292994156923918</v>
      </c>
      <c r="K28" s="36" t="s">
        <v>12</v>
      </c>
      <c r="L28" s="36"/>
      <c r="M28" s="36"/>
      <c r="N28" s="36"/>
      <c r="O28" s="36"/>
      <c r="R28" s="60" t="s">
        <v>338</v>
      </c>
    </row>
    <row r="29" spans="1:27" ht="18" x14ac:dyDescent="0.35">
      <c r="A29" s="38" t="s">
        <v>24</v>
      </c>
      <c r="B29" s="44">
        <v>0.5</v>
      </c>
      <c r="C29" s="36" t="s">
        <v>12</v>
      </c>
      <c r="D29" s="36"/>
      <c r="E29" s="36"/>
      <c r="F29" s="36">
        <v>1.5</v>
      </c>
      <c r="G29" s="36"/>
      <c r="H29" s="37"/>
      <c r="I29" s="38" t="s">
        <v>176</v>
      </c>
      <c r="J29" s="43">
        <v>0</v>
      </c>
      <c r="K29" s="36" t="s">
        <v>12</v>
      </c>
      <c r="L29" s="36"/>
      <c r="M29" s="36"/>
      <c r="N29" s="36"/>
      <c r="O29" s="36"/>
      <c r="R29" s="60" t="s">
        <v>339</v>
      </c>
      <c r="U29" t="s">
        <v>348</v>
      </c>
      <c r="V29" t="s">
        <v>349</v>
      </c>
    </row>
    <row r="30" spans="1:27" x14ac:dyDescent="0.25">
      <c r="A30" s="38" t="s">
        <v>25</v>
      </c>
      <c r="B30" s="44">
        <v>22.8</v>
      </c>
      <c r="C30" s="36" t="s">
        <v>12</v>
      </c>
      <c r="D30" s="36"/>
      <c r="E30" s="36">
        <v>1</v>
      </c>
      <c r="F30" s="36">
        <v>5</v>
      </c>
      <c r="G30" s="36"/>
      <c r="H30" s="37"/>
      <c r="I30" s="38" t="s">
        <v>311</v>
      </c>
      <c r="J30" s="27">
        <f>3*B26</f>
        <v>27.299999999999997</v>
      </c>
      <c r="K30" s="36" t="s">
        <v>12</v>
      </c>
      <c r="L30" s="27"/>
      <c r="M30" s="27"/>
      <c r="N30" s="27"/>
      <c r="O30" s="27"/>
      <c r="R30" s="7" t="s">
        <v>342</v>
      </c>
    </row>
    <row r="31" spans="1:27" x14ac:dyDescent="0.25">
      <c r="A31" s="38" t="s">
        <v>293</v>
      </c>
      <c r="B31" s="44">
        <f>100*(B27/(B27+B30))</f>
        <v>76.805696846388599</v>
      </c>
      <c r="C31" s="36" t="s">
        <v>12</v>
      </c>
      <c r="D31" s="36"/>
      <c r="E31" s="36">
        <v>94</v>
      </c>
      <c r="F31" s="36">
        <v>98</v>
      </c>
      <c r="G31" s="36"/>
      <c r="H31" s="37"/>
      <c r="I31" s="38" t="s">
        <v>312</v>
      </c>
      <c r="J31" s="27">
        <f>0.34*B24</f>
        <v>9.8600000000000012</v>
      </c>
      <c r="K31" s="36" t="s">
        <v>19</v>
      </c>
      <c r="L31" s="27"/>
      <c r="M31" s="27"/>
      <c r="N31" s="27"/>
      <c r="O31" s="27"/>
      <c r="R31" s="7" t="s">
        <v>341</v>
      </c>
    </row>
    <row r="32" spans="1:27" ht="18" x14ac:dyDescent="0.35">
      <c r="A32" s="52" t="s">
        <v>255</v>
      </c>
      <c r="B32" s="83"/>
      <c r="C32" s="84"/>
      <c r="D32" s="84"/>
      <c r="E32" s="84"/>
      <c r="F32" s="84"/>
      <c r="G32" s="85"/>
      <c r="H32" s="37"/>
      <c r="R32" s="60" t="s">
        <v>340</v>
      </c>
      <c r="V32" t="s">
        <v>351</v>
      </c>
    </row>
    <row r="33" spans="1:18" x14ac:dyDescent="0.25">
      <c r="A33" s="38" t="s">
        <v>203</v>
      </c>
      <c r="B33" s="44">
        <v>37</v>
      </c>
      <c r="C33" s="42" t="s">
        <v>294</v>
      </c>
      <c r="D33" s="36"/>
      <c r="E33" s="36"/>
      <c r="F33" s="36"/>
      <c r="G33" s="36"/>
      <c r="H33" s="37"/>
    </row>
    <row r="34" spans="1:18" x14ac:dyDescent="0.25">
      <c r="A34" s="38" t="s">
        <v>295</v>
      </c>
      <c r="B34" s="43">
        <v>21</v>
      </c>
      <c r="C34" s="36" t="s">
        <v>12</v>
      </c>
      <c r="D34" s="36"/>
      <c r="E34" s="36"/>
      <c r="F34" s="36"/>
      <c r="G34" s="36"/>
    </row>
    <row r="35" spans="1:18" x14ac:dyDescent="0.25">
      <c r="A35" s="38" t="s">
        <v>204</v>
      </c>
      <c r="B35" s="43">
        <v>760</v>
      </c>
      <c r="C35" s="36" t="s">
        <v>10</v>
      </c>
      <c r="D35" s="36"/>
      <c r="E35" s="36"/>
      <c r="F35" s="36"/>
      <c r="G35" s="36"/>
      <c r="I35" s="46"/>
    </row>
    <row r="36" spans="1:18" x14ac:dyDescent="0.25">
      <c r="I36" s="46"/>
    </row>
    <row r="37" spans="1:18" x14ac:dyDescent="0.25">
      <c r="A37" s="46" t="s">
        <v>314</v>
      </c>
      <c r="I37" s="46"/>
    </row>
    <row r="38" spans="1:18" ht="15.75" x14ac:dyDescent="0.25">
      <c r="A38" s="46" t="s">
        <v>210</v>
      </c>
      <c r="B38">
        <f>(B17/26.7)^0.184</f>
        <v>1.1304895264728803</v>
      </c>
      <c r="I38" s="62"/>
    </row>
    <row r="39" spans="1:18" ht="15.75" x14ac:dyDescent="0.25">
      <c r="A39" s="54" t="s">
        <v>104</v>
      </c>
      <c r="B39" s="55">
        <v>2.718</v>
      </c>
      <c r="I39" s="62"/>
    </row>
    <row r="40" spans="1:18" ht="18" x14ac:dyDescent="0.25">
      <c r="A40" s="56" t="s">
        <v>316</v>
      </c>
      <c r="B40" s="57">
        <f>B17*B39^(B38+0.003*J13-2.2)*(7.4-B15)</f>
        <v>0.18023878548012773</v>
      </c>
      <c r="I40" s="62"/>
    </row>
    <row r="41" spans="1:18" ht="15.75" x14ac:dyDescent="0.25">
      <c r="A41" s="56" t="s">
        <v>105</v>
      </c>
      <c r="B41" s="57" t="str">
        <f>IF(J17&gt;150,"0",IF(J17&gt;125,"0.01","0.02"))</f>
        <v>0.01</v>
      </c>
      <c r="I41" s="62"/>
      <c r="R41" t="s">
        <v>336</v>
      </c>
    </row>
    <row r="42" spans="1:18" ht="15.75" x14ac:dyDescent="0.25">
      <c r="A42" t="s">
        <v>165</v>
      </c>
      <c r="B42">
        <f>(1-B28/100)-B41</f>
        <v>0.97899999999999998</v>
      </c>
      <c r="I42" s="62"/>
      <c r="R42" t="s">
        <v>337</v>
      </c>
    </row>
    <row r="43" spans="1:18" ht="15.75" x14ac:dyDescent="0.25">
      <c r="I43" s="62"/>
    </row>
    <row r="44" spans="1:18" ht="15.75" x14ac:dyDescent="0.25">
      <c r="I44" s="62"/>
    </row>
    <row r="45" spans="1:18" ht="15.75" x14ac:dyDescent="0.25">
      <c r="I45" s="62"/>
      <c r="J45" s="62"/>
      <c r="K45" s="62"/>
    </row>
    <row r="46" spans="1:18" x14ac:dyDescent="0.25">
      <c r="E46" t="s">
        <v>262</v>
      </c>
    </row>
    <row r="58" spans="1:1" x14ac:dyDescent="0.25">
      <c r="A58" s="10"/>
    </row>
    <row r="59" spans="1:1" x14ac:dyDescent="0.25">
      <c r="A59" s="10"/>
    </row>
  </sheetData>
  <mergeCells count="24">
    <mergeCell ref="J10:O10"/>
    <mergeCell ref="B32:G32"/>
    <mergeCell ref="I8:K9"/>
    <mergeCell ref="M8:N8"/>
    <mergeCell ref="A8:C9"/>
    <mergeCell ref="E8:F8"/>
    <mergeCell ref="B10:G10"/>
    <mergeCell ref="B14:G14"/>
    <mergeCell ref="B25:G25"/>
    <mergeCell ref="K2:O2"/>
    <mergeCell ref="K4:O4"/>
    <mergeCell ref="I4:J4"/>
    <mergeCell ref="K3:O3"/>
    <mergeCell ref="C5:D5"/>
    <mergeCell ref="F5:G5"/>
    <mergeCell ref="A2:B2"/>
    <mergeCell ref="A3:B3"/>
    <mergeCell ref="A4:B4"/>
    <mergeCell ref="A5:B5"/>
    <mergeCell ref="I2:J2"/>
    <mergeCell ref="I3:J3"/>
    <mergeCell ref="C2:G2"/>
    <mergeCell ref="C3:G3"/>
    <mergeCell ref="C4:G4"/>
  </mergeCells>
  <pageMargins left="0.39370078740157483" right="0.39370078740157483" top="0.74803149606299213" bottom="0.74803149606299213" header="0.31496062992125984" footer="0.31496062992125984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Reference Range</vt:lpstr>
      <vt:lpstr>Critical Limits</vt:lpstr>
      <vt:lpstr>Rumus</vt:lpstr>
      <vt:lpstr>Result</vt:lpstr>
      <vt:lpstr>Cal</vt:lpstr>
      <vt:lpstr>Ar_Male_S</vt:lpstr>
      <vt:lpstr>Ar_Male_NS</vt:lpstr>
      <vt:lpstr>Male_S</vt:lpstr>
      <vt:lpstr>Ar_Male_NS!Print_Area</vt:lpstr>
      <vt:lpstr>Ar_Male_S!Print_Area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Wahyadi</dc:creator>
  <cp:lastModifiedBy>Ambar Wahyadi</cp:lastModifiedBy>
  <cp:lastPrinted>2024-04-15T02:21:30Z</cp:lastPrinted>
  <dcterms:created xsi:type="dcterms:W3CDTF">2024-04-12T02:48:46Z</dcterms:created>
  <dcterms:modified xsi:type="dcterms:W3CDTF">2024-08-01T05:52:39Z</dcterms:modified>
</cp:coreProperties>
</file>